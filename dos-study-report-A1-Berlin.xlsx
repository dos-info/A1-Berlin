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" sheetId="1" state="visible" r:id="rId3"/>
    <sheet name="الإعدادات" sheetId="2" state="visible" r:id="rId4"/>
    <sheet name="الجلسات" sheetId="3" state="visible" r:id="rId5"/>
  </sheets>
  <definedNames>
    <definedName function="false" hidden="true" localSheetId="2" name="_xlnm._FilterDatabase" vbProcedure="false">الجلسات!$A$1:$K$77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<sst xmlns="http://schemas.openxmlformats.org/spreadsheetml/2006/main" count="538" uniqueCount="65">
  <si>
    <t xml:space="preserve">DOS Academy — تقرير ساعات المذاكرة | A1 Berlin</t>
  </si>
  <si>
    <t xml:space="preserve">Lernen. Verstehen. Umsetzen.  |  الهدف: 3 ساعات يومياً (90 ساعة شهرياً)  |  الجلسات الشاذة مستبعدة حسب الحد في ورقة الإعدادات</t>
  </si>
  <si>
    <t xml:space="preserve">الطالب</t>
  </si>
  <si>
    <t xml:space="preserve">الكود</t>
  </si>
  <si>
    <t xml:space="preserve">المجموعة</t>
  </si>
  <si>
    <t xml:space="preserve">الشهر</t>
  </si>
  <si>
    <t xml:space="preserve">أيام الفترة</t>
  </si>
  <si>
    <t xml:space="preserve">عدد الجلسات</t>
  </si>
  <si>
    <t xml:space="preserve">الدقائق (كل الجلسات)</t>
  </si>
  <si>
    <t xml:space="preserve">جلسات مستبعدة</t>
  </si>
  <si>
    <t xml:space="preserve">الدقائق المعتمدة</t>
  </si>
  <si>
    <t xml:space="preserve">الساعات الفعلية</t>
  </si>
  <si>
    <t xml:space="preserve">الهدف (ساعات)</t>
  </si>
  <si>
    <t xml:space="preserve">نسبة الإنجاز</t>
  </si>
  <si>
    <t xml:space="preserve">متوسط الساعات اليومي</t>
  </si>
  <si>
    <t xml:space="preserve">الفرق اليومي عن 3 ساعات</t>
  </si>
  <si>
    <t xml:space="preserve">التقييم</t>
  </si>
  <si>
    <t xml:space="preserve">العبارة التحفيزية</t>
  </si>
  <si>
    <t xml:space="preserve">Ahella Amr Helal</t>
  </si>
  <si>
    <t xml:space="preserve">DOS100051</t>
  </si>
  <si>
    <t xml:space="preserve">A1 Berlin</t>
  </si>
  <si>
    <t xml:space="preserve">سبتمبر 2026</t>
  </si>
  <si>
    <t xml:space="preserve">Eman Mohamed Ziada</t>
  </si>
  <si>
    <t xml:space="preserve">DOS100044</t>
  </si>
  <si>
    <t xml:space="preserve">Janet yousef samwel</t>
  </si>
  <si>
    <t xml:space="preserve">DOS100062</t>
  </si>
  <si>
    <t xml:space="preserve">Maha Samir Alshik</t>
  </si>
  <si>
    <t xml:space="preserve">DOS100052</t>
  </si>
  <si>
    <t xml:space="preserve">Abdelrahman Reda Aboalia</t>
  </si>
  <si>
    <t xml:space="preserve">DOS100065</t>
  </si>
  <si>
    <t xml:space="preserve">أكتوبر 2026</t>
  </si>
  <si>
    <t xml:space="preserve">ملاحظات:</t>
  </si>
  <si>
    <t xml:space="preserve">أكتوبر 2026 يغطي 3 أيام فقط (حتى 3 أكتوبر)، لذلك هدفه 9 ساعات بالتناسب.</t>
  </si>
  <si>
    <t xml:space="preserve">«جلسات مستبعدة» = جلسات أطول من الحد المحدد في ورقة الإعدادات؛ غالباً لم يُغلقها الطالب (مثلاً جلسة استمرت 4078 دقيقة ≈ 68 ساعة). راجع ورقة «الجلسات» لتفاصيلها.</t>
  </si>
  <si>
    <t xml:space="preserve">الأوقات في ورقة الجلسات بتوقيت UTC.</t>
  </si>
  <si>
    <t xml:space="preserve">للتواصل: info@dos-eg.com | +20 155 300 2897 | +20 101 479 0783 | +20 102 881 8465 | +20 111 946 0901</t>
  </si>
  <si>
    <t xml:space="preserve">الإعداد</t>
  </si>
  <si>
    <t xml:space="preserve">القيمة</t>
  </si>
  <si>
    <t xml:space="preserve">ملاحظة</t>
  </si>
  <si>
    <t xml:space="preserve">الهدف اليومي (ساعات)</t>
  </si>
  <si>
    <t xml:space="preserve">من معايير المهارة: 3 ساعات يومياً = 90 ساعة شهرياً</t>
  </si>
  <si>
    <t xml:space="preserve">حد الجلسة الشاذة (دقائق)</t>
  </si>
  <si>
    <t xml:space="preserve">الجلسات الأطول من هذا الحد تُستبعد من الحساب (غالباً جلسة لم تُغلق). غيّر القيمة لتتحدث كل النتائج. ضع 99999 لاحتساب كل الجلسات</t>
  </si>
  <si>
    <t xml:space="preserve">حد التميز (نسبة)</t>
  </si>
  <si>
    <t xml:space="preserve">≥ 90% = متميز</t>
  </si>
  <si>
    <t xml:space="preserve">حد القريب من المستهدف (نسبة)</t>
  </si>
  <si>
    <t xml:space="preserve">من 50% إلى أقل من 90% = قريب من المستهدف، وأقل من 50% = تحذير</t>
  </si>
  <si>
    <t xml:space="preserve">أيام سبتمبر 2026</t>
  </si>
  <si>
    <t xml:space="preserve">شهر كامل</t>
  </si>
  <si>
    <t xml:space="preserve">أيام أكتوبر 2026</t>
  </si>
  <si>
    <t xml:space="preserve">حتى 3 أكتوبر 2026 فقط (تاريخ آخر بيانات في الملف) — الهدف محسوب بالتناسب</t>
  </si>
  <si>
    <t xml:space="preserve">الخلايا الصفراء (بالأزرق) هي الوحيدة التي تُعدَّل. مصدر البيانات: ملف student-study-report-all-levels-A1_Berlin-all-months.csv — الأوقات بتوقيت UTC.</t>
  </si>
  <si>
    <t xml:space="preserve">Student</t>
  </si>
  <si>
    <t xml:space="preserve">Code</t>
  </si>
  <si>
    <t xml:space="preserve">Group</t>
  </si>
  <si>
    <t xml:space="preserve">Level</t>
  </si>
  <si>
    <t xml:space="preserve">Month</t>
  </si>
  <si>
    <t xml:space="preserve">Start (UTC)</t>
  </si>
  <si>
    <t xml:space="preserve">Ende (UTC)</t>
  </si>
  <si>
    <t xml:space="preserve">Status</t>
  </si>
  <si>
    <t xml:space="preserve">Lernminuten</t>
  </si>
  <si>
    <t xml:space="preserve">Pause (Minuten)</t>
  </si>
  <si>
    <t xml:space="preserve">حالة الجلسة</t>
  </si>
  <si>
    <t xml:space="preserve">A1</t>
  </si>
  <si>
    <t xml:space="preserve">finished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</si>
</sst>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General"/>
    <numFmt numFmtId="167" formatCode="0.0"/>
    <numFmt numFmtId="168" formatCode="0.0%"/>
    <numFmt numFmtId="169" formatCode="0.00"/>
    <numFmt numFmtId="170" formatCode="\+0.00;\-0.00;0.00"/>
    <numFmt numFmtId="171" formatCode="0%"/>
    <numFmt numFmtId="172" formatCode="yyyy\-mm\-dd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D32F2F"/>
        <bgColor rgb="FFB71C1C"/>
      </patternFill>
    </fill>
    <fill>
      <patternFill patternType="solid">
        <fgColor rgb="FFFFF9C4"/>
        <bgColor rgb="FFFFF3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1B5E20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FF3C4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B71C1C"/>
      </font>
    </dxf>
    <dxf>
      <fill>
        <patternFill patternType="solid">
          <fgColor rgb="FF1111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B7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A5A00"/>
      <rgbColor rgb="FF800080"/>
      <rgbColor rgb="FF008080"/>
      <rgbColor rgb="FFC0C0C0"/>
      <rgbColor rgb="FF808080"/>
      <rgbColor rgb="FF9999FF"/>
      <rgbColor rgb="FFD32F2F"/>
      <rgbColor rgb="FFFFF9C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3C4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B71C1C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-1618920</xdr:colOff>
      <xdr:row>0</xdr:row>
      <xdr:rowOff>0</xdr:rowOff>
    </xdr:from>
    <xdr:to>
      <xdr:col>0</xdr:col>
      <xdr:colOff>0</xdr:colOff>
      <xdr:row>0</xdr:row>
      <xdr:rowOff>856800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-1618920" y="0"/>
          <a:ext cx="16189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24"/>
    <col collapsed="false" customWidth="true" hidden="false" outlineLevel="0" max="16" min="16" style="0" width="60"/>
  </cols>
  <sheetData>
    <row r="1" customFormat="false" ht="6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33.75" hidden="false" customHeight="true" outlineLevel="0" collapsed="false">
      <c r="A5" s="4" t="s">
        <v>18</v>
      </c>
      <c r="B5" s="5" t="s">
        <v>19</v>
      </c>
      <c r="C5" s="5" t="s">
        <v>20</v>
      </c>
      <c r="D5" s="5" t="s">
        <v>21</v>
      </c>
      <c r="E5" s="5" t="n">
        <f aca="false">IF(D5="سبتمبر 2026",الإعدادات!$B$6,الإعدادات!$B$7)</f>
        <v>30</v>
      </c>
      <c r="F5" s="5" t="n">
        <f aca="false">COUNTIFS(الجلسات!$B$2:$B$77,B5,الجلسات!$E$2:$E$77,D5)</f>
        <v>5</v>
      </c>
      <c r="G5" s="6" t="n">
        <f aca="false">SUMIFS(الجلسات!$I$2:$I$77,الجلسات!$B$2:$B$77,B5,الجلسات!$E$2:$E$77,D5)</f>
        <v>4347</v>
      </c>
      <c r="H5" s="7" t="n">
        <f aca="false">COUNTIFS(الجلسات!$B$2:$B$77,B5,الجلسات!$E$2:$E$77,D5,الجلسات!$I$2:$I$77,"&gt;"&amp;الإعدادات!$B$3)</f>
        <v>1</v>
      </c>
      <c r="I5" s="6" t="n">
        <f aca="false">SUMIFS(الجلسات!$I$2:$I$77,الجلسات!$B$2:$B$77,B5,الجلسات!$E$2:$E$77,D5,الجلسات!$I$2:$I$77,"&lt;="&amp;الإعدادات!$B$3)</f>
        <v>269</v>
      </c>
      <c r="J5" s="8" t="n">
        <f aca="false">I5/60</f>
        <v>4.48333333333333</v>
      </c>
      <c r="K5" s="8" t="n">
        <f aca="false">E5*الإعدادات!$B$2</f>
        <v>90</v>
      </c>
      <c r="L5" s="9" t="n">
        <f aca="false">J5/K5</f>
        <v>0.0498148148148148</v>
      </c>
      <c r="M5" s="10" t="n">
        <f aca="false">J5/E5</f>
        <v>0.149444444444444</v>
      </c>
      <c r="N5" s="11" t="n">
        <f aca="false">M5-الإعدادات!$B$2</f>
        <v>-2.85055555555556</v>
      </c>
      <c r="O5" s="5" t="str">
        <f aca="false">IF(L5&gt;=الإعدادات!$B$4,"متميز 🌟",IF(L5&gt;=الإعدادات!$B$5,"قريب من المستهدف 👍","تحت المستهدف / تحذير ⚠️"))</f>
        <v>تحت المستهدف / تحذير ⚠️</v>
      </c>
      <c r="P5" s="4" t="str">
        <f aca="false">IF(L5&gt;=الإعدادات!$B$4,"أداء استثنائي وتألق ملحوظ! استمر في هذا المستوى الرائع للوصول للقمة! 🚀",IF(L5&gt;=الإعدادات!$B$5,"بداية جيدة ومجهود مقدر، اضغط على نفسك قليلاً للوصول لـ 3 ساعات يومياً! 💪","تنبيه هام! مستواك الحالي أقل من المطلوب. يرجى الالتزام بجدول المذاكرة اليومي فوراً لتحقيق هدفك! ⚠️"))</f>
        <v>تنبيه هام! مستواك الحالي أقل من المطلوب. يرجى الالتزام بجدول المذاكرة اليومي فوراً لتحقيق هدفك! ⚠️</v>
      </c>
    </row>
    <row r="6" customFormat="false" ht="33.75" hidden="false" customHeight="true" outlineLevel="0" collapsed="false">
      <c r="A6" s="4" t="s">
        <v>22</v>
      </c>
      <c r="B6" s="5" t="s">
        <v>23</v>
      </c>
      <c r="C6" s="5" t="s">
        <v>20</v>
      </c>
      <c r="D6" s="5" t="s">
        <v>21</v>
      </c>
      <c r="E6" s="5" t="n">
        <f aca="false">IF(D6="سبتمبر 2026",الإعدادات!$B$6,الإعدادات!$B$7)</f>
        <v>30</v>
      </c>
      <c r="F6" s="5" t="n">
        <f aca="false">COUNTIFS(الجلسات!$B$2:$B$77,B6,الجلسات!$E$2:$E$77,D6)</f>
        <v>13</v>
      </c>
      <c r="G6" s="6" t="n">
        <f aca="false">SUMIFS(الجلسات!$I$2:$I$77,الجلسات!$B$2:$B$77,B6,الجلسات!$E$2:$E$77,D6)</f>
        <v>1271</v>
      </c>
      <c r="H6" s="7" t="n">
        <f aca="false">COUNTIFS(الجلسات!$B$2:$B$77,B6,الجلسات!$E$2:$E$77,D6,الجلسات!$I$2:$I$77,"&gt;"&amp;الإعدادات!$B$3)</f>
        <v>1</v>
      </c>
      <c r="I6" s="6" t="n">
        <f aca="false">SUMIFS(الجلسات!$I$2:$I$77,الجلسات!$B$2:$B$77,B6,الجلسات!$E$2:$E$77,D6,الجلسات!$I$2:$I$77,"&lt;="&amp;الإعدادات!$B$3)</f>
        <v>622</v>
      </c>
      <c r="J6" s="8" t="n">
        <f aca="false">I6/60</f>
        <v>10.3666666666667</v>
      </c>
      <c r="K6" s="8" t="n">
        <f aca="false">E6*الإعدادات!$B$2</f>
        <v>90</v>
      </c>
      <c r="L6" s="9" t="n">
        <f aca="false">J6/K6</f>
        <v>0.115185185185185</v>
      </c>
      <c r="M6" s="10" t="n">
        <f aca="false">J6/E6</f>
        <v>0.345555555555556</v>
      </c>
      <c r="N6" s="11" t="n">
        <f aca="false">M6-الإعدادات!$B$2</f>
        <v>-2.65444444444444</v>
      </c>
      <c r="O6" s="5" t="str">
        <f aca="false">IF(L6&gt;=الإعدادات!$B$4,"متميز 🌟",IF(L6&gt;=الإعدادات!$B$5,"قريب من المستهدف 👍","تحت المستهدف / تحذير ⚠️"))</f>
        <v>تحت المستهدف / تحذير ⚠️</v>
      </c>
      <c r="P6" s="4" t="str">
        <f aca="false">IF(L6&gt;=الإعدادات!$B$4,"أداء استثنائي وتألق ملحوظ! استمر في هذا المستوى الرائع للوصول للقمة! 🚀",IF(L6&gt;=الإعدادات!$B$5,"بداية جيدة ومجهود مقدر، اضغط على نفسك قليلاً للوصول لـ 3 ساعات يومياً! 💪","تنبيه هام! مستواك الحالي أقل من المطلوب. يرجى الالتزام بجدول المذاكرة اليومي فوراً لتحقيق هدفك! ⚠️"))</f>
        <v>تنبيه هام! مستواك الحالي أقل من المطلوب. يرجى الالتزام بجدول المذاكرة اليومي فوراً لتحقيق هدفك! ⚠️</v>
      </c>
    </row>
    <row r="7" customFormat="false" ht="33.75" hidden="false" customHeight="true" outlineLevel="0" collapsed="false">
      <c r="A7" s="4" t="s">
        <v>24</v>
      </c>
      <c r="B7" s="5" t="s">
        <v>25</v>
      </c>
      <c r="C7" s="5" t="s">
        <v>20</v>
      </c>
      <c r="D7" s="5" t="s">
        <v>21</v>
      </c>
      <c r="E7" s="5" t="n">
        <f aca="false">IF(D7="سبتمبر 2026",الإعدادات!$B$6,الإعدادات!$B$7)</f>
        <v>30</v>
      </c>
      <c r="F7" s="5" t="n">
        <f aca="false">COUNTIFS(الجلسات!$B$2:$B$77,B7,الجلسات!$E$2:$E$77,D7)</f>
        <v>32</v>
      </c>
      <c r="G7" s="6" t="n">
        <f aca="false">SUMIFS(الجلسات!$I$2:$I$77,الجلسات!$B$2:$B$77,B7,الجلسات!$E$2:$E$77,D7)</f>
        <v>2065</v>
      </c>
      <c r="H7" s="7" t="n">
        <f aca="false">COUNTIFS(الجلسات!$B$2:$B$77,B7,الجلسات!$E$2:$E$77,D7,الجلسات!$I$2:$I$77,"&gt;"&amp;الإعدادات!$B$3)</f>
        <v>2</v>
      </c>
      <c r="I7" s="6" t="n">
        <f aca="false">SUMIFS(الجلسات!$I$2:$I$77,الجلسات!$B$2:$B$77,B7,الجلسات!$E$2:$E$77,D7,الجلسات!$I$2:$I$77,"&lt;="&amp;الإعدادات!$B$3)</f>
        <v>711</v>
      </c>
      <c r="J7" s="8" t="n">
        <f aca="false">I7/60</f>
        <v>11.85</v>
      </c>
      <c r="K7" s="8" t="n">
        <f aca="false">E7*الإعدادات!$B$2</f>
        <v>90</v>
      </c>
      <c r="L7" s="9" t="n">
        <f aca="false">J7/K7</f>
        <v>0.131666666666667</v>
      </c>
      <c r="M7" s="10" t="n">
        <f aca="false">J7/E7</f>
        <v>0.395</v>
      </c>
      <c r="N7" s="11" t="n">
        <f aca="false">M7-الإعدادات!$B$2</f>
        <v>-2.605</v>
      </c>
      <c r="O7" s="5" t="str">
        <f aca="false">IF(L7&gt;=الإعدادات!$B$4,"متميز 🌟",IF(L7&gt;=الإعدادات!$B$5,"قريب من المستهدف 👍","تحت المستهدف / تحذير ⚠️"))</f>
        <v>تحت المستهدف / تحذير ⚠️</v>
      </c>
      <c r="P7" s="4" t="str">
        <f aca="false">IF(L7&gt;=الإعدادات!$B$4,"أداء استثنائي وتألق ملحوظ! استمر في هذا المستوى الرائع للوصول للقمة! 🚀",IF(L7&gt;=الإعدادات!$B$5,"بداية جيدة ومجهود مقدر، اضغط على نفسك قليلاً للوصول لـ 3 ساعات يومياً! 💪","تنبيه هام! مستواك الحالي أقل من المطلوب. يرجى الالتزام بجدول المذاكرة اليومي فوراً لتحقيق هدفك! ⚠️"))</f>
        <v>تنبيه هام! مستواك الحالي أقل من المطلوب. يرجى الالتزام بجدول المذاكرة اليومي فوراً لتحقيق هدفك! ⚠️</v>
      </c>
    </row>
    <row r="8" customFormat="false" ht="33.75" hidden="false" customHeight="true" outlineLevel="0" collapsed="false">
      <c r="A8" s="4" t="s">
        <v>26</v>
      </c>
      <c r="B8" s="5" t="s">
        <v>27</v>
      </c>
      <c r="C8" s="5" t="s">
        <v>20</v>
      </c>
      <c r="D8" s="5" t="s">
        <v>21</v>
      </c>
      <c r="E8" s="5" t="n">
        <f aca="false">IF(D8="سبتمبر 2026",الإعدادات!$B$6,الإعدادات!$B$7)</f>
        <v>30</v>
      </c>
      <c r="F8" s="5" t="n">
        <f aca="false">COUNTIFS(الجلسات!$B$2:$B$77,B8,الجلسات!$E$2:$E$77,D8)</f>
        <v>16</v>
      </c>
      <c r="G8" s="6" t="n">
        <f aca="false">SUMIFS(الجلسات!$I$2:$I$77,الجلسات!$B$2:$B$77,B8,الجلسات!$E$2:$E$77,D8)</f>
        <v>3349</v>
      </c>
      <c r="H8" s="7" t="n">
        <f aca="false">COUNTIFS(الجلسات!$B$2:$B$77,B8,الجلسات!$E$2:$E$77,D8,الجلسات!$I$2:$I$77,"&gt;"&amp;الإعدادات!$B$3)</f>
        <v>1</v>
      </c>
      <c r="I8" s="6" t="n">
        <f aca="false">SUMIFS(الجلسات!$I$2:$I$77,الجلسات!$B$2:$B$77,B8,الجلسات!$E$2:$E$77,D8,الجلسات!$I$2:$I$77,"&lt;="&amp;الإعدادات!$B$3)</f>
        <v>2255</v>
      </c>
      <c r="J8" s="8" t="n">
        <f aca="false">I8/60</f>
        <v>37.5833333333333</v>
      </c>
      <c r="K8" s="8" t="n">
        <f aca="false">E8*الإعدادات!$B$2</f>
        <v>90</v>
      </c>
      <c r="L8" s="9" t="n">
        <f aca="false">J8/K8</f>
        <v>0.417592592592593</v>
      </c>
      <c r="M8" s="10" t="n">
        <f aca="false">J8/E8</f>
        <v>1.25277777777778</v>
      </c>
      <c r="N8" s="11" t="n">
        <f aca="false">M8-الإعدادات!$B$2</f>
        <v>-1.74722222222222</v>
      </c>
      <c r="O8" s="5" t="str">
        <f aca="false">IF(L8&gt;=الإعدادات!$B$4,"متميز 🌟",IF(L8&gt;=الإعدادات!$B$5,"قريب من المستهدف 👍","تحت المستهدف / تحذير ⚠️"))</f>
        <v>تحت المستهدف / تحذير ⚠️</v>
      </c>
      <c r="P8" s="4" t="str">
        <f aca="false">IF(L8&gt;=الإعدادات!$B$4,"أداء استثنائي وتألق ملحوظ! استمر في هذا المستوى الرائع للوصول للقمة! 🚀",IF(L8&gt;=الإعدادات!$B$5,"بداية جيدة ومجهود مقدر، اضغط على نفسك قليلاً للوصول لـ 3 ساعات يومياً! 💪","تنبيه هام! مستواك الحالي أقل من المطلوب. يرجى الالتزام بجدول المذاكرة اليومي فوراً لتحقيق هدفك! ⚠️"))</f>
        <v>تنبيه هام! مستواك الحالي أقل من المطلوب. يرجى الالتزام بجدول المذاكرة اليومي فوراً لتحقيق هدفك! ⚠️</v>
      </c>
    </row>
    <row r="9" customFormat="false" ht="33.75" hidden="false" customHeight="true" outlineLevel="0" collapsed="false">
      <c r="A9" s="4" t="s">
        <v>28</v>
      </c>
      <c r="B9" s="5" t="s">
        <v>29</v>
      </c>
      <c r="C9" s="5" t="s">
        <v>20</v>
      </c>
      <c r="D9" s="5" t="s">
        <v>30</v>
      </c>
      <c r="E9" s="5" t="n">
        <f aca="false">IF(D9="سبتمبر 2026",الإعدادات!$B$6,الإعدادات!$B$7)</f>
        <v>3</v>
      </c>
      <c r="F9" s="5" t="n">
        <f aca="false">COUNTIFS(الجلسات!$B$2:$B$77,B9,الجلسات!$E$2:$E$77,D9)</f>
        <v>1</v>
      </c>
      <c r="G9" s="6" t="n">
        <f aca="false">SUMIFS(الجلسات!$I$2:$I$77,الجلسات!$B$2:$B$77,B9,الجلسات!$E$2:$E$77,D9)</f>
        <v>0</v>
      </c>
      <c r="H9" s="7" t="n">
        <f aca="false">COUNTIFS(الجلسات!$B$2:$B$77,B9,الجلسات!$E$2:$E$77,D9,الجلسات!$I$2:$I$77,"&gt;"&amp;الإعدادات!$B$3)</f>
        <v>0</v>
      </c>
      <c r="I9" s="6" t="n">
        <f aca="false">SUMIFS(الجلسات!$I$2:$I$77,الجلسات!$B$2:$B$77,B9,الجلسات!$E$2:$E$77,D9,الجلسات!$I$2:$I$77,"&lt;="&amp;الإعدادات!$B$3)</f>
        <v>0</v>
      </c>
      <c r="J9" s="8" t="n">
        <f aca="false">I9/60</f>
        <v>0</v>
      </c>
      <c r="K9" s="8" t="n">
        <f aca="false">E9*الإعدادات!$B$2</f>
        <v>9</v>
      </c>
      <c r="L9" s="9" t="n">
        <f aca="false">J9/K9</f>
        <v>0</v>
      </c>
      <c r="M9" s="10" t="n">
        <f aca="false">J9/E9</f>
        <v>0</v>
      </c>
      <c r="N9" s="11" t="n">
        <f aca="false">M9-الإعدادات!$B$2</f>
        <v>-3</v>
      </c>
      <c r="O9" s="5" t="str">
        <f aca="false">IF(L9&gt;=الإعدادات!$B$4,"متميز 🌟",IF(L9&gt;=الإعدادات!$B$5,"قريب من المستهدف 👍","تحت المستهدف / تحذير ⚠️"))</f>
        <v>تحت المستهدف / تحذير ⚠️</v>
      </c>
      <c r="P9" s="4" t="str">
        <f aca="false">IF(L9&gt;=الإعدادات!$B$4,"أداء استثنائي وتألق ملحوظ! استمر في هذا المستوى الرائع للوصول للقمة! 🚀",IF(L9&gt;=الإعدادات!$B$5,"بداية جيدة ومجهود مقدر، اضغط على نفسك قليلاً للوصول لـ 3 ساعات يومياً! 💪","تنبيه هام! مستواك الحالي أقل من المطلوب. يرجى الالتزام بجدول المذاكرة اليومي فوراً لتحقيق هدفك! ⚠️"))</f>
        <v>تنبيه هام! مستواك الحالي أقل من المطلوب. يرجى الالتزام بجدول المذاكرة اليومي فوراً لتحقيق هدفك! ⚠️</v>
      </c>
    </row>
    <row r="10" customFormat="false" ht="33.75" hidden="false" customHeight="true" outlineLevel="0" collapsed="false">
      <c r="A10" s="4" t="s">
        <v>22</v>
      </c>
      <c r="B10" s="5" t="s">
        <v>23</v>
      </c>
      <c r="C10" s="5" t="s">
        <v>20</v>
      </c>
      <c r="D10" s="5" t="s">
        <v>30</v>
      </c>
      <c r="E10" s="5" t="n">
        <f aca="false">IF(D10="سبتمبر 2026",الإعدادات!$B$6,الإعدادات!$B$7)</f>
        <v>3</v>
      </c>
      <c r="F10" s="5" t="n">
        <f aca="false">COUNTIFS(الجلسات!$B$2:$B$77,B10,الجلسات!$E$2:$E$77,D10)</f>
        <v>4</v>
      </c>
      <c r="G10" s="6" t="n">
        <f aca="false">SUMIFS(الجلسات!$I$2:$I$77,الجلسات!$B$2:$B$77,B10,الجلسات!$E$2:$E$77,D10)</f>
        <v>439</v>
      </c>
      <c r="H10" s="7" t="n">
        <f aca="false">COUNTIFS(الجلسات!$B$2:$B$77,B10,الجلسات!$E$2:$E$77,D10,الجلسات!$I$2:$I$77,"&gt;"&amp;الإعدادات!$B$3)</f>
        <v>0</v>
      </c>
      <c r="I10" s="6" t="n">
        <f aca="false">SUMIFS(الجلسات!$I$2:$I$77,الجلسات!$B$2:$B$77,B10,الجلسات!$E$2:$E$77,D10,الجلسات!$I$2:$I$77,"&lt;="&amp;الإعدادات!$B$3)</f>
        <v>439</v>
      </c>
      <c r="J10" s="8" t="n">
        <f aca="false">I10/60</f>
        <v>7.31666666666667</v>
      </c>
      <c r="K10" s="8" t="n">
        <f aca="false">E10*الإعدادات!$B$2</f>
        <v>9</v>
      </c>
      <c r="L10" s="9" t="n">
        <f aca="false">J10/K10</f>
        <v>0.812962962962963</v>
      </c>
      <c r="M10" s="10" t="n">
        <f aca="false">J10/E10</f>
        <v>2.43888888888889</v>
      </c>
      <c r="N10" s="11" t="n">
        <f aca="false">M10-الإعدادات!$B$2</f>
        <v>-0.561111111111111</v>
      </c>
      <c r="O10" s="5" t="str">
        <f aca="false">IF(L10&gt;=الإعدادات!$B$4,"متميز 🌟",IF(L10&gt;=الإعدادات!$B$5,"قريب من المستهدف 👍","تحت المستهدف / تحذير ⚠️"))</f>
        <v>قريب من المستهدف 👍</v>
      </c>
      <c r="P10" s="4" t="str">
        <f aca="false">IF(L10&gt;=الإعدادات!$B$4,"أداء استثنائي وتألق ملحوظ! استمر في هذا المستوى الرائع للوصول للقمة! 🚀",IF(L10&gt;=الإعدادات!$B$5,"بداية جيدة ومجهود مقدر، اضغط على نفسك قليلاً للوصول لـ 3 ساعات يومياً! 💪","تنبيه هام! مستواك الحالي أقل من المطلوب. يرجى الالتزام بجدول المذاكرة اليومي فوراً لتحقيق هدفك! ⚠️"))</f>
        <v>بداية جيدة ومجهود مقدر، اضغط على نفسك قليلاً للوصول لـ 3 ساعات يومياً! 💪</v>
      </c>
    </row>
    <row r="11" customFormat="false" ht="33.75" hidden="false" customHeight="true" outlineLevel="0" collapsed="false">
      <c r="A11" s="4" t="s">
        <v>24</v>
      </c>
      <c r="B11" s="5" t="s">
        <v>25</v>
      </c>
      <c r="C11" s="5" t="s">
        <v>20</v>
      </c>
      <c r="D11" s="5" t="s">
        <v>30</v>
      </c>
      <c r="E11" s="5" t="n">
        <f aca="false">IF(D11="سبتمبر 2026",الإعدادات!$B$6,الإعدادات!$B$7)</f>
        <v>3</v>
      </c>
      <c r="F11" s="5" t="n">
        <f aca="false">COUNTIFS(الجلسات!$B$2:$B$77,B11,الجلسات!$E$2:$E$77,D11)</f>
        <v>3</v>
      </c>
      <c r="G11" s="6" t="n">
        <f aca="false">SUMIFS(الجلسات!$I$2:$I$77,الجلسات!$B$2:$B$77,B11,الجلسات!$E$2:$E$77,D11)</f>
        <v>465</v>
      </c>
      <c r="H11" s="7" t="n">
        <f aca="false">COUNTIFS(الجلسات!$B$2:$B$77,B11,الجلسات!$E$2:$E$77,D11,الجلسات!$I$2:$I$77,"&gt;"&amp;الإعدادات!$B$3)</f>
        <v>0</v>
      </c>
      <c r="I11" s="6" t="n">
        <f aca="false">SUMIFS(الجلسات!$I$2:$I$77,الجلسات!$B$2:$B$77,B11,الجلسات!$E$2:$E$77,D11,الجلسات!$I$2:$I$77,"&lt;="&amp;الإعدادات!$B$3)</f>
        <v>465</v>
      </c>
      <c r="J11" s="8" t="n">
        <f aca="false">I11/60</f>
        <v>7.75</v>
      </c>
      <c r="K11" s="8" t="n">
        <f aca="false">E11*الإعدادات!$B$2</f>
        <v>9</v>
      </c>
      <c r="L11" s="9" t="n">
        <f aca="false">J11/K11</f>
        <v>0.861111111111111</v>
      </c>
      <c r="M11" s="10" t="n">
        <f aca="false">J11/E11</f>
        <v>2.58333333333333</v>
      </c>
      <c r="N11" s="11" t="n">
        <f aca="false">M11-الإعدادات!$B$2</f>
        <v>-0.416666666666667</v>
      </c>
      <c r="O11" s="5" t="str">
        <f aca="false">IF(L11&gt;=الإعدادات!$B$4,"متميز 🌟",IF(L11&gt;=الإعدادات!$B$5,"قريب من المستهدف 👍","تحت المستهدف / تحذير ⚠️"))</f>
        <v>قريب من المستهدف 👍</v>
      </c>
      <c r="P11" s="4" t="str">
        <f aca="false">IF(L11&gt;=الإعدادات!$B$4,"أداء استثنائي وتألق ملحوظ! استمر في هذا المستوى الرائع للوصول للقمة! 🚀",IF(L11&gt;=الإعدادات!$B$5,"بداية جيدة ومجهود مقدر، اضغط على نفسك قليلاً للوصول لـ 3 ساعات يومياً! 💪","تنبيه هام! مستواك الحالي أقل من المطلوب. يرجى الالتزام بجدول المذاكرة اليومي فوراً لتحقيق هدفك! ⚠️"))</f>
        <v>بداية جيدة ومجهود مقدر، اضغط على نفسك قليلاً للوصول لـ 3 ساعات يومياً! 💪</v>
      </c>
    </row>
    <row r="12" customFormat="false" ht="33.75" hidden="false" customHeight="true" outlineLevel="0" collapsed="false">
      <c r="A12" s="4" t="s">
        <v>26</v>
      </c>
      <c r="B12" s="5" t="s">
        <v>27</v>
      </c>
      <c r="C12" s="5" t="s">
        <v>20</v>
      </c>
      <c r="D12" s="5" t="s">
        <v>30</v>
      </c>
      <c r="E12" s="5" t="n">
        <f aca="false">IF(D12="سبتمبر 2026",الإعدادات!$B$6,الإعدادات!$B$7)</f>
        <v>3</v>
      </c>
      <c r="F12" s="5" t="n">
        <f aca="false">COUNTIFS(الجلسات!$B$2:$B$77,B12,الجلسات!$E$2:$E$77,D12)</f>
        <v>2</v>
      </c>
      <c r="G12" s="6" t="n">
        <f aca="false">SUMIFS(الجلسات!$I$2:$I$77,الجلسات!$B$2:$B$77,B12,الجلسات!$E$2:$E$77,D12)</f>
        <v>343</v>
      </c>
      <c r="H12" s="7" t="n">
        <f aca="false">COUNTIFS(الجلسات!$B$2:$B$77,B12,الجلسات!$E$2:$E$77,D12,الجلسات!$I$2:$I$77,"&gt;"&amp;الإعدادات!$B$3)</f>
        <v>0</v>
      </c>
      <c r="I12" s="6" t="n">
        <f aca="false">SUMIFS(الجلسات!$I$2:$I$77,الجلسات!$B$2:$B$77,B12,الجلسات!$E$2:$E$77,D12,الجلسات!$I$2:$I$77,"&lt;="&amp;الإعدادات!$B$3)</f>
        <v>343</v>
      </c>
      <c r="J12" s="8" t="n">
        <f aca="false">I12/60</f>
        <v>5.71666666666667</v>
      </c>
      <c r="K12" s="8" t="n">
        <f aca="false">E12*الإعدادات!$B$2</f>
        <v>9</v>
      </c>
      <c r="L12" s="9" t="n">
        <f aca="false">J12/K12</f>
        <v>0.635185185185185</v>
      </c>
      <c r="M12" s="10" t="n">
        <f aca="false">J12/E12</f>
        <v>1.90555555555556</v>
      </c>
      <c r="N12" s="11" t="n">
        <f aca="false">M12-الإعدادات!$B$2</f>
        <v>-1.09444444444444</v>
      </c>
      <c r="O12" s="5" t="str">
        <f aca="false">IF(L12&gt;=الإعدادات!$B$4,"متميز 🌟",IF(L12&gt;=الإعدادات!$B$5,"قريب من المستهدف 👍","تحت المستهدف / تحذير ⚠️"))</f>
        <v>قريب من المستهدف 👍</v>
      </c>
      <c r="P12" s="4" t="str">
        <f aca="false">IF(L12&gt;=الإعدادات!$B$4,"أداء استثنائي وتألق ملحوظ! استمر في هذا المستوى الرائع للوصول للقمة! 🚀",IF(L12&gt;=الإعدادات!$B$5,"بداية جيدة ومجهود مقدر، اضغط على نفسك قليلاً للوصول لـ 3 ساعات يومياً! 💪","تنبيه هام! مستواك الحالي أقل من المطلوب. يرجى الالتزام بجدول المذاكرة اليومي فوراً لتحقيق هدفك! ⚠️"))</f>
        <v>بداية جيدة ومجهود مقدر، اضغط على نفسك قليلاً للوصول لـ 3 ساعات يومياً! 💪</v>
      </c>
    </row>
    <row r="14" customFormat="false" ht="15" hidden="false" customHeight="false" outlineLevel="0" collapsed="false">
      <c r="A14" s="12" t="s">
        <v>31</v>
      </c>
    </row>
    <row r="15" customFormat="false" ht="15" hidden="false" customHeight="false" outlineLevel="0" collapsed="false">
      <c r="A15" s="13" t="s">
        <v>32</v>
      </c>
    </row>
    <row r="16" customFormat="false" ht="15" hidden="false" customHeight="false" outlineLevel="0" collapsed="false">
      <c r="A16" s="13" t="s">
        <v>33</v>
      </c>
    </row>
    <row r="17" customFormat="false" ht="15" hidden="false" customHeight="false" outlineLevel="0" collapsed="false">
      <c r="A17" s="13" t="s">
        <v>34</v>
      </c>
    </row>
    <row r="18" customFormat="false" ht="15" hidden="false" customHeight="false" outlineLevel="0" collapsed="false">
      <c r="A18" s="13" t="s">
        <v>35</v>
      </c>
    </row>
  </sheetData>
  <mergeCells count="2">
    <mergeCell ref="A1:P1"/>
    <mergeCell ref="A2:P2"/>
  </mergeCells>
  <conditionalFormatting sqref="L5:L12">
    <cfRule type="expression" priority="2" aboveAverage="0" equalAverage="0" bottom="0" percent="0" rank="0" text="" dxfId="0">
      <formula>$L5&gt;=الإعدادات!$B$4</formula>
    </cfRule>
    <cfRule type="expression" priority="3" aboveAverage="0" equalAverage="0" bottom="0" percent="0" rank="0" text="" dxfId="1">
      <formula>AND($L5&gt;=الإعدادات!$B$5,$L5&lt;الإعدادات!$B$4)</formula>
    </cfRule>
    <cfRule type="expression" priority="4" aboveAverage="0" equalAverage="0" bottom="0" percent="0" rank="0" text="" dxfId="2">
      <formula>$L5&lt;الإعدادات!$B$5</formula>
    </cfRule>
  </conditionalFormatting>
  <conditionalFormatting sqref="O5:O12">
    <cfRule type="expression" priority="5" aboveAverage="0" equalAverage="0" bottom="0" percent="0" rank="0" text="" dxfId="0">
      <formula>$L5&gt;=الإعدادات!$B$4</formula>
    </cfRule>
    <cfRule type="expression" priority="6" aboveAverage="0" equalAverage="0" bottom="0" percent="0" rank="0" text="" dxfId="1">
      <formula>AND($L5&gt;=الإعدادات!$B$5,$L5&lt;الإعدادات!$B$4)</formula>
    </cfRule>
    <cfRule type="expression" priority="7" aboveAverage="0" equalAverage="0" bottom="0" percent="0" rank="0" text="" dxfId="2">
      <formula>$L5&lt;الإعدادات!$B$5</formula>
    </cfRule>
  </conditionalFormatting>
  <conditionalFormatting sqref="H5:H12">
    <cfRule type="cellIs" priority="8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14" t="s">
        <v>36</v>
      </c>
      <c r="B1" s="14" t="s">
        <v>37</v>
      </c>
      <c r="C1" s="14" t="s">
        <v>38</v>
      </c>
    </row>
    <row r="2" customFormat="false" ht="15" hidden="false" customHeight="false" outlineLevel="0" collapsed="false">
      <c r="A2" s="15" t="s">
        <v>39</v>
      </c>
      <c r="B2" s="16" t="n">
        <v>3</v>
      </c>
      <c r="C2" s="4" t="s">
        <v>40</v>
      </c>
    </row>
    <row r="3" customFormat="false" ht="26.85" hidden="false" customHeight="false" outlineLevel="0" collapsed="false">
      <c r="A3" s="15" t="s">
        <v>41</v>
      </c>
      <c r="B3" s="16" t="n">
        <v>480</v>
      </c>
      <c r="C3" s="4" t="s">
        <v>42</v>
      </c>
    </row>
    <row r="4" customFormat="false" ht="15" hidden="false" customHeight="false" outlineLevel="0" collapsed="false">
      <c r="A4" s="15" t="s">
        <v>43</v>
      </c>
      <c r="B4" s="17" t="n">
        <v>0.9</v>
      </c>
      <c r="C4" s="4" t="s">
        <v>44</v>
      </c>
    </row>
    <row r="5" customFormat="false" ht="15" hidden="false" customHeight="false" outlineLevel="0" collapsed="false">
      <c r="A5" s="15" t="s">
        <v>45</v>
      </c>
      <c r="B5" s="17" t="n">
        <v>0.5</v>
      </c>
      <c r="C5" s="4" t="s">
        <v>46</v>
      </c>
    </row>
    <row r="6" customFormat="false" ht="15" hidden="false" customHeight="false" outlineLevel="0" collapsed="false">
      <c r="A6" s="15" t="s">
        <v>47</v>
      </c>
      <c r="B6" s="16" t="n">
        <v>30</v>
      </c>
      <c r="C6" s="4" t="s">
        <v>48</v>
      </c>
    </row>
    <row r="7" customFormat="false" ht="15" hidden="false" customHeight="false" outlineLevel="0" collapsed="false">
      <c r="A7" s="15" t="s">
        <v>49</v>
      </c>
      <c r="B7" s="16" t="n">
        <v>3</v>
      </c>
      <c r="C7" s="4" t="s">
        <v>50</v>
      </c>
    </row>
    <row r="9" customFormat="false" ht="15" hidden="false" customHeight="false" outlineLevel="0" collapsed="false">
      <c r="A9" s="18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4"/>
  </cols>
  <sheetData>
    <row r="1" customFormat="false" ht="26.85" hidden="false" customHeight="false" outlineLevel="0" collapsed="false">
      <c r="A1" s="14" t="s">
        <v>52</v>
      </c>
      <c r="B1" s="14" t="s">
        <v>53</v>
      </c>
      <c r="C1" s="14" t="s">
        <v>54</v>
      </c>
      <c r="D1" s="14" t="s">
        <v>55</v>
      </c>
      <c r="E1" s="14" t="s">
        <v>56</v>
      </c>
      <c r="F1" s="14" t="s">
        <v>57</v>
      </c>
      <c r="G1" s="14" t="s">
        <v>58</v>
      </c>
      <c r="H1" s="14" t="s">
        <v>59</v>
      </c>
      <c r="I1" s="14" t="s">
        <v>60</v>
      </c>
      <c r="J1" s="14" t="s">
        <v>61</v>
      </c>
      <c r="K1" s="14" t="s">
        <v>62</v>
      </c>
    </row>
    <row r="2" customFormat="false" ht="15" hidden="false" customHeight="false" outlineLevel="0" collapsed="false">
      <c r="A2" s="15" t="s">
        <v>28</v>
      </c>
      <c r="B2" s="15" t="s">
        <v>29</v>
      </c>
      <c r="C2" s="15" t="s">
        <v>20</v>
      </c>
      <c r="D2" s="15" t="s">
        <v>63</v>
      </c>
      <c r="E2" s="15" t="s">
        <v>30</v>
      </c>
      <c r="F2" s="19" t="n">
        <v>46298.4975164352</v>
      </c>
      <c r="G2" s="19" t="n">
        <v>46298.4977746875</v>
      </c>
      <c r="H2" s="15" t="s">
        <v>64</v>
      </c>
      <c r="I2" s="15" t="n">
        <v>0</v>
      </c>
      <c r="J2" s="15" t="n">
        <v>0</v>
      </c>
      <c r="K2" s="5" t="str">
        <f aca="false">IF(I2&gt;الإعدادات!$B$3,"شاذة","سليمة")</f>
        <v>سليمة</v>
      </c>
    </row>
    <row r="3" customFormat="false" ht="15" hidden="false" customHeight="false" outlineLevel="0" collapsed="false">
      <c r="A3" s="15" t="s">
        <v>24</v>
      </c>
      <c r="B3" s="15" t="s">
        <v>25</v>
      </c>
      <c r="C3" s="15" t="s">
        <v>20</v>
      </c>
      <c r="D3" s="15" t="s">
        <v>63</v>
      </c>
      <c r="E3" s="15" t="s">
        <v>30</v>
      </c>
      <c r="F3" s="19" t="n">
        <v>46298.1943185532</v>
      </c>
      <c r="G3" s="19" t="n">
        <v>46298.4952145718</v>
      </c>
      <c r="H3" s="15" t="s">
        <v>64</v>
      </c>
      <c r="I3" s="15" t="n">
        <v>433</v>
      </c>
      <c r="J3" s="15" t="n">
        <v>0</v>
      </c>
      <c r="K3" s="5" t="str">
        <f aca="false">IF(I3&gt;الإعدادات!$B$3,"شاذة","سليمة")</f>
        <v>سليمة</v>
      </c>
    </row>
    <row r="4" customFormat="false" ht="15" hidden="false" customHeight="false" outlineLevel="0" collapsed="false">
      <c r="A4" s="15" t="s">
        <v>22</v>
      </c>
      <c r="B4" s="15" t="s">
        <v>23</v>
      </c>
      <c r="C4" s="15" t="s">
        <v>20</v>
      </c>
      <c r="D4" s="15" t="s">
        <v>63</v>
      </c>
      <c r="E4" s="15" t="s">
        <v>30</v>
      </c>
      <c r="F4" s="19" t="n">
        <v>46297.7703314236</v>
      </c>
      <c r="G4" s="19" t="n">
        <v>46297.8088384028</v>
      </c>
      <c r="H4" s="15" t="s">
        <v>64</v>
      </c>
      <c r="I4" s="15" t="n">
        <v>55</v>
      </c>
      <c r="J4" s="15" t="n">
        <v>0</v>
      </c>
      <c r="K4" s="5" t="str">
        <f aca="false">IF(I4&gt;الإعدادات!$B$3,"شاذة","سليمة")</f>
        <v>سليمة</v>
      </c>
    </row>
    <row r="5" customFormat="false" ht="15" hidden="false" customHeight="false" outlineLevel="0" collapsed="false">
      <c r="A5" s="15" t="s">
        <v>26</v>
      </c>
      <c r="B5" s="15" t="s">
        <v>27</v>
      </c>
      <c r="C5" s="15" t="s">
        <v>20</v>
      </c>
      <c r="D5" s="15" t="s">
        <v>63</v>
      </c>
      <c r="E5" s="15" t="s">
        <v>30</v>
      </c>
      <c r="F5" s="19" t="n">
        <v>46297.7457353704</v>
      </c>
      <c r="G5" s="19" t="n">
        <v>46297.8406053704</v>
      </c>
      <c r="H5" s="15" t="s">
        <v>64</v>
      </c>
      <c r="I5" s="15" t="n">
        <v>136</v>
      </c>
      <c r="J5" s="15" t="n">
        <v>0</v>
      </c>
      <c r="K5" s="5" t="str">
        <f aca="false">IF(I5&gt;الإعدادات!$B$3,"شاذة","سليمة")</f>
        <v>سليمة</v>
      </c>
    </row>
    <row r="6" customFormat="false" ht="15" hidden="false" customHeight="false" outlineLevel="0" collapsed="false">
      <c r="A6" s="15" t="s">
        <v>22</v>
      </c>
      <c r="B6" s="15" t="s">
        <v>23</v>
      </c>
      <c r="C6" s="15" t="s">
        <v>20</v>
      </c>
      <c r="D6" s="15" t="s">
        <v>63</v>
      </c>
      <c r="E6" s="15" t="s">
        <v>30</v>
      </c>
      <c r="F6" s="19" t="n">
        <v>46297.701889132</v>
      </c>
      <c r="G6" s="19" t="n">
        <v>46297.7421081829</v>
      </c>
      <c r="H6" s="15" t="s">
        <v>64</v>
      </c>
      <c r="I6" s="15" t="n">
        <v>57</v>
      </c>
      <c r="J6" s="15" t="n">
        <v>0</v>
      </c>
      <c r="K6" s="5" t="str">
        <f aca="false">IF(I6&gt;الإعدادات!$B$3,"شاذة","سليمة")</f>
        <v>سليمة</v>
      </c>
    </row>
    <row r="7" customFormat="false" ht="15" hidden="false" customHeight="false" outlineLevel="0" collapsed="false">
      <c r="A7" s="15" t="s">
        <v>22</v>
      </c>
      <c r="B7" s="15" t="s">
        <v>23</v>
      </c>
      <c r="C7" s="15" t="s">
        <v>20</v>
      </c>
      <c r="D7" s="15" t="s">
        <v>63</v>
      </c>
      <c r="E7" s="15" t="s">
        <v>30</v>
      </c>
      <c r="F7" s="19" t="n">
        <v>46297.4611635532</v>
      </c>
      <c r="G7" s="19" t="n">
        <v>46297.5152015972</v>
      </c>
      <c r="H7" s="15" t="s">
        <v>64</v>
      </c>
      <c r="I7" s="15" t="n">
        <v>77</v>
      </c>
      <c r="J7" s="15" t="n">
        <v>0</v>
      </c>
      <c r="K7" s="5" t="str">
        <f aca="false">IF(I7&gt;الإعدادات!$B$3,"شاذة","سليمة")</f>
        <v>سليمة</v>
      </c>
    </row>
    <row r="8" customFormat="false" ht="15" hidden="false" customHeight="false" outlineLevel="0" collapsed="false">
      <c r="A8" s="15" t="s">
        <v>24</v>
      </c>
      <c r="B8" s="15" t="s">
        <v>25</v>
      </c>
      <c r="C8" s="15" t="s">
        <v>20</v>
      </c>
      <c r="D8" s="15" t="s">
        <v>63</v>
      </c>
      <c r="E8" s="15" t="s">
        <v>30</v>
      </c>
      <c r="F8" s="19" t="n">
        <v>46297.3446898495</v>
      </c>
      <c r="G8" s="19" t="n">
        <v>46297.3649546991</v>
      </c>
      <c r="H8" s="15" t="s">
        <v>64</v>
      </c>
      <c r="I8" s="15" t="n">
        <v>9</v>
      </c>
      <c r="J8" s="15" t="n">
        <v>20</v>
      </c>
      <c r="K8" s="5" t="str">
        <f aca="false">IF(I8&gt;الإعدادات!$B$3,"شاذة","سليمة")</f>
        <v>سليمة</v>
      </c>
    </row>
    <row r="9" customFormat="false" ht="15" hidden="false" customHeight="false" outlineLevel="0" collapsed="false">
      <c r="A9" s="15" t="s">
        <v>22</v>
      </c>
      <c r="B9" s="15" t="s">
        <v>23</v>
      </c>
      <c r="C9" s="15" t="s">
        <v>20</v>
      </c>
      <c r="D9" s="15" t="s">
        <v>63</v>
      </c>
      <c r="E9" s="15" t="s">
        <v>30</v>
      </c>
      <c r="F9" s="19" t="n">
        <v>46296.6162946296</v>
      </c>
      <c r="G9" s="19" t="n">
        <v>46296.7903161458</v>
      </c>
      <c r="H9" s="15" t="s">
        <v>64</v>
      </c>
      <c r="I9" s="15" t="n">
        <v>250</v>
      </c>
      <c r="J9" s="15" t="n">
        <v>0</v>
      </c>
      <c r="K9" s="5" t="str">
        <f aca="false">IF(I9&gt;الإعدادات!$B$3,"شاذة","سليمة")</f>
        <v>سليمة</v>
      </c>
    </row>
    <row r="10" customFormat="false" ht="15" hidden="false" customHeight="false" outlineLevel="0" collapsed="false">
      <c r="A10" s="15" t="s">
        <v>26</v>
      </c>
      <c r="B10" s="15" t="s">
        <v>27</v>
      </c>
      <c r="C10" s="15" t="s">
        <v>20</v>
      </c>
      <c r="D10" s="15" t="s">
        <v>63</v>
      </c>
      <c r="E10" s="15" t="s">
        <v>30</v>
      </c>
      <c r="F10" s="19" t="n">
        <v>46296.4119677431</v>
      </c>
      <c r="G10" s="19" t="n">
        <v>46296.5697515162</v>
      </c>
      <c r="H10" s="15" t="s">
        <v>64</v>
      </c>
      <c r="I10" s="15" t="n">
        <v>207</v>
      </c>
      <c r="J10" s="15" t="n">
        <v>20</v>
      </c>
      <c r="K10" s="5" t="str">
        <f aca="false">IF(I10&gt;الإعدادات!$B$3,"شاذة","سليمة")</f>
        <v>سليمة</v>
      </c>
    </row>
    <row r="11" customFormat="false" ht="15" hidden="false" customHeight="false" outlineLevel="0" collapsed="false">
      <c r="A11" s="15" t="s">
        <v>24</v>
      </c>
      <c r="B11" s="15" t="s">
        <v>25</v>
      </c>
      <c r="C11" s="15" t="s">
        <v>20</v>
      </c>
      <c r="D11" s="15" t="s">
        <v>63</v>
      </c>
      <c r="E11" s="15" t="s">
        <v>30</v>
      </c>
      <c r="F11" s="19" t="n">
        <v>46296.1846884722</v>
      </c>
      <c r="G11" s="19" t="n">
        <v>46296.2013125</v>
      </c>
      <c r="H11" s="15" t="s">
        <v>64</v>
      </c>
      <c r="I11" s="15" t="n">
        <v>23</v>
      </c>
      <c r="J11" s="15" t="n">
        <v>0</v>
      </c>
      <c r="K11" s="5" t="str">
        <f aca="false">IF(I11&gt;الإعدادات!$B$3,"شاذة","سليمة")</f>
        <v>سليمة</v>
      </c>
    </row>
    <row r="12" customFormat="false" ht="15" hidden="false" customHeight="false" outlineLevel="0" collapsed="false">
      <c r="A12" s="15" t="s">
        <v>24</v>
      </c>
      <c r="B12" s="15" t="s">
        <v>25</v>
      </c>
      <c r="C12" s="15" t="s">
        <v>20</v>
      </c>
      <c r="D12" s="15" t="s">
        <v>63</v>
      </c>
      <c r="E12" s="15" t="s">
        <v>21</v>
      </c>
      <c r="F12" s="19" t="n">
        <v>46295.9189123611</v>
      </c>
      <c r="G12" s="19" t="n">
        <v>46295.9229071065</v>
      </c>
      <c r="H12" s="15" t="s">
        <v>64</v>
      </c>
      <c r="I12" s="15" t="n">
        <v>0</v>
      </c>
      <c r="J12" s="15" t="n">
        <v>20</v>
      </c>
      <c r="K12" s="5" t="str">
        <f aca="false">IF(I12&gt;الإعدادات!$B$3,"شاذة","سليمة")</f>
        <v>سليمة</v>
      </c>
    </row>
    <row r="13" customFormat="false" ht="15" hidden="false" customHeight="false" outlineLevel="0" collapsed="false">
      <c r="A13" s="15" t="s">
        <v>26</v>
      </c>
      <c r="B13" s="15" t="s">
        <v>27</v>
      </c>
      <c r="C13" s="15" t="s">
        <v>20</v>
      </c>
      <c r="D13" s="15" t="s">
        <v>63</v>
      </c>
      <c r="E13" s="15" t="s">
        <v>21</v>
      </c>
      <c r="F13" s="19" t="n">
        <v>46295.8168211343</v>
      </c>
      <c r="G13" s="19" t="n">
        <v>46295.9427620718</v>
      </c>
      <c r="H13" s="15" t="s">
        <v>64</v>
      </c>
      <c r="I13" s="15" t="n">
        <v>181</v>
      </c>
      <c r="J13" s="15" t="n">
        <v>0</v>
      </c>
      <c r="K13" s="5" t="str">
        <f aca="false">IF(I13&gt;الإعدادات!$B$3,"شاذة","سليمة")</f>
        <v>سليمة</v>
      </c>
    </row>
    <row r="14" customFormat="false" ht="15" hidden="false" customHeight="false" outlineLevel="0" collapsed="false">
      <c r="A14" s="15" t="s">
        <v>24</v>
      </c>
      <c r="B14" s="15" t="s">
        <v>25</v>
      </c>
      <c r="C14" s="15" t="s">
        <v>20</v>
      </c>
      <c r="D14" s="15" t="s">
        <v>63</v>
      </c>
      <c r="E14" s="15" t="s">
        <v>21</v>
      </c>
      <c r="F14" s="19" t="n">
        <v>46295.739764294</v>
      </c>
      <c r="G14" s="19" t="n">
        <v>46295.7399024884</v>
      </c>
      <c r="H14" s="15" t="s">
        <v>64</v>
      </c>
      <c r="I14" s="15" t="n">
        <v>0</v>
      </c>
      <c r="J14" s="15" t="n">
        <v>0</v>
      </c>
      <c r="K14" s="5" t="str">
        <f aca="false">IF(I14&gt;الإعدادات!$B$3,"شاذة","سليمة")</f>
        <v>سليمة</v>
      </c>
    </row>
    <row r="15" customFormat="false" ht="15" hidden="false" customHeight="false" outlineLevel="0" collapsed="false">
      <c r="A15" s="15" t="s">
        <v>24</v>
      </c>
      <c r="B15" s="15" t="s">
        <v>25</v>
      </c>
      <c r="C15" s="15" t="s">
        <v>20</v>
      </c>
      <c r="D15" s="15" t="s">
        <v>63</v>
      </c>
      <c r="E15" s="15" t="s">
        <v>21</v>
      </c>
      <c r="F15" s="19" t="n">
        <v>46295.7338404282</v>
      </c>
      <c r="G15" s="19" t="n">
        <v>46295.7397473032</v>
      </c>
      <c r="H15" s="15" t="s">
        <v>64</v>
      </c>
      <c r="I15" s="15" t="n">
        <v>0</v>
      </c>
      <c r="J15" s="15" t="n">
        <v>20</v>
      </c>
      <c r="K15" s="5" t="str">
        <f aca="false">IF(I15&gt;الإعدادات!$B$3,"شاذة","سليمة")</f>
        <v>سليمة</v>
      </c>
    </row>
    <row r="16" customFormat="false" ht="15" hidden="false" customHeight="false" outlineLevel="0" collapsed="false">
      <c r="A16" s="15" t="s">
        <v>18</v>
      </c>
      <c r="B16" s="15" t="s">
        <v>19</v>
      </c>
      <c r="C16" s="15" t="s">
        <v>20</v>
      </c>
      <c r="D16" s="15" t="s">
        <v>63</v>
      </c>
      <c r="E16" s="15" t="s">
        <v>21</v>
      </c>
      <c r="F16" s="19" t="n">
        <v>46295.6630553125</v>
      </c>
      <c r="G16" s="19" t="n">
        <v>46298.4952857986</v>
      </c>
      <c r="H16" s="15" t="s">
        <v>64</v>
      </c>
      <c r="I16" s="15" t="n">
        <v>4078</v>
      </c>
      <c r="J16" s="15" t="n">
        <v>0</v>
      </c>
      <c r="K16" s="5" t="str">
        <f aca="false">IF(I16&gt;الإعدادات!$B$3,"شاذة","سليمة")</f>
        <v>شاذة</v>
      </c>
    </row>
    <row r="17" customFormat="false" ht="15" hidden="false" customHeight="false" outlineLevel="0" collapsed="false">
      <c r="A17" s="15" t="s">
        <v>24</v>
      </c>
      <c r="B17" s="15" t="s">
        <v>25</v>
      </c>
      <c r="C17" s="15" t="s">
        <v>20</v>
      </c>
      <c r="D17" s="15" t="s">
        <v>63</v>
      </c>
      <c r="E17" s="15" t="s">
        <v>21</v>
      </c>
      <c r="F17" s="19" t="n">
        <v>46295.5725721991</v>
      </c>
      <c r="G17" s="19" t="n">
        <v>46295.581585787</v>
      </c>
      <c r="H17" s="15" t="s">
        <v>64</v>
      </c>
      <c r="I17" s="15" t="n">
        <v>0</v>
      </c>
      <c r="J17" s="15" t="n">
        <v>20</v>
      </c>
      <c r="K17" s="5" t="str">
        <f aca="false">IF(I17&gt;الإعدادات!$B$3,"شاذة","سليمة")</f>
        <v>سليمة</v>
      </c>
    </row>
    <row r="18" customFormat="false" ht="15" hidden="false" customHeight="false" outlineLevel="0" collapsed="false">
      <c r="A18" s="15" t="s">
        <v>22</v>
      </c>
      <c r="B18" s="15" t="s">
        <v>23</v>
      </c>
      <c r="C18" s="15" t="s">
        <v>20</v>
      </c>
      <c r="D18" s="15" t="s">
        <v>63</v>
      </c>
      <c r="E18" s="15" t="s">
        <v>21</v>
      </c>
      <c r="F18" s="19" t="n">
        <v>46295.5463160185</v>
      </c>
      <c r="G18" s="19" t="n">
        <v>46295.5864640741</v>
      </c>
      <c r="H18" s="15" t="s">
        <v>64</v>
      </c>
      <c r="I18" s="15" t="n">
        <v>57</v>
      </c>
      <c r="J18" s="15" t="n">
        <v>0</v>
      </c>
      <c r="K18" s="5" t="str">
        <f aca="false">IF(I18&gt;الإعدادات!$B$3,"شاذة","سليمة")</f>
        <v>سليمة</v>
      </c>
    </row>
    <row r="19" customFormat="false" ht="15" hidden="false" customHeight="false" outlineLevel="0" collapsed="false">
      <c r="A19" s="15" t="s">
        <v>22</v>
      </c>
      <c r="B19" s="15" t="s">
        <v>23</v>
      </c>
      <c r="C19" s="15" t="s">
        <v>20</v>
      </c>
      <c r="D19" s="15" t="s">
        <v>63</v>
      </c>
      <c r="E19" s="15" t="s">
        <v>21</v>
      </c>
      <c r="F19" s="19" t="n">
        <v>46295.493658588</v>
      </c>
      <c r="G19" s="19" t="n">
        <v>46295.5230733449</v>
      </c>
      <c r="H19" s="15" t="s">
        <v>64</v>
      </c>
      <c r="I19" s="15" t="n">
        <v>42</v>
      </c>
      <c r="J19" s="15" t="n">
        <v>0</v>
      </c>
      <c r="K19" s="5" t="str">
        <f aca="false">IF(I19&gt;الإعدادات!$B$3,"شاذة","سليمة")</f>
        <v>سليمة</v>
      </c>
    </row>
    <row r="20" customFormat="false" ht="15" hidden="false" customHeight="false" outlineLevel="0" collapsed="false">
      <c r="A20" s="15" t="s">
        <v>26</v>
      </c>
      <c r="B20" s="15" t="s">
        <v>27</v>
      </c>
      <c r="C20" s="15" t="s">
        <v>20</v>
      </c>
      <c r="D20" s="15" t="s">
        <v>63</v>
      </c>
      <c r="E20" s="15" t="s">
        <v>21</v>
      </c>
      <c r="F20" s="19" t="n">
        <v>46294.7284479282</v>
      </c>
      <c r="G20" s="19" t="n">
        <v>46294.8052099769</v>
      </c>
      <c r="H20" s="15" t="s">
        <v>64</v>
      </c>
      <c r="I20" s="15" t="n">
        <v>90</v>
      </c>
      <c r="J20" s="15" t="n">
        <v>20</v>
      </c>
      <c r="K20" s="5" t="str">
        <f aca="false">IF(I20&gt;الإعدادات!$B$3,"شاذة","سليمة")</f>
        <v>سليمة</v>
      </c>
    </row>
    <row r="21" customFormat="false" ht="15" hidden="false" customHeight="false" outlineLevel="0" collapsed="false">
      <c r="A21" s="15" t="s">
        <v>26</v>
      </c>
      <c r="B21" s="15" t="s">
        <v>27</v>
      </c>
      <c r="C21" s="15" t="s">
        <v>20</v>
      </c>
      <c r="D21" s="15" t="s">
        <v>63</v>
      </c>
      <c r="E21" s="15" t="s">
        <v>21</v>
      </c>
      <c r="F21" s="19" t="n">
        <v>46293.85211625</v>
      </c>
      <c r="G21" s="19" t="n">
        <v>46293.9000443056</v>
      </c>
      <c r="H21" s="15" t="s">
        <v>64</v>
      </c>
      <c r="I21" s="15" t="n">
        <v>69</v>
      </c>
      <c r="J21" s="15" t="n">
        <v>0</v>
      </c>
      <c r="K21" s="5" t="str">
        <f aca="false">IF(I21&gt;الإعدادات!$B$3,"شاذة","سليمة")</f>
        <v>سليمة</v>
      </c>
    </row>
    <row r="22" customFormat="false" ht="15" hidden="false" customHeight="false" outlineLevel="0" collapsed="false">
      <c r="A22" s="15" t="s">
        <v>24</v>
      </c>
      <c r="B22" s="15" t="s">
        <v>25</v>
      </c>
      <c r="C22" s="15" t="s">
        <v>20</v>
      </c>
      <c r="D22" s="15" t="s">
        <v>63</v>
      </c>
      <c r="E22" s="15" t="s">
        <v>21</v>
      </c>
      <c r="F22" s="19" t="n">
        <v>46293.807883588</v>
      </c>
      <c r="G22" s="19" t="n">
        <v>46294.2004120139</v>
      </c>
      <c r="H22" s="15" t="s">
        <v>64</v>
      </c>
      <c r="I22" s="15" t="n">
        <v>565</v>
      </c>
      <c r="J22" s="15" t="n">
        <v>0</v>
      </c>
      <c r="K22" s="5" t="str">
        <f aca="false">IF(I22&gt;الإعدادات!$B$3,"شاذة","سليمة")</f>
        <v>شاذة</v>
      </c>
    </row>
    <row r="23" customFormat="false" ht="15" hidden="false" customHeight="false" outlineLevel="0" collapsed="false">
      <c r="A23" s="15" t="s">
        <v>24</v>
      </c>
      <c r="B23" s="15" t="s">
        <v>25</v>
      </c>
      <c r="C23" s="15" t="s">
        <v>20</v>
      </c>
      <c r="D23" s="15" t="s">
        <v>63</v>
      </c>
      <c r="E23" s="15" t="s">
        <v>21</v>
      </c>
      <c r="F23" s="19" t="n">
        <v>46293.785353044</v>
      </c>
      <c r="G23" s="19" t="n">
        <v>46293.803325787</v>
      </c>
      <c r="H23" s="15" t="s">
        <v>64</v>
      </c>
      <c r="I23" s="15" t="n">
        <v>25</v>
      </c>
      <c r="J23" s="15" t="n">
        <v>0</v>
      </c>
      <c r="K23" s="5" t="str">
        <f aca="false">IF(I23&gt;الإعدادات!$B$3,"شاذة","سليمة")</f>
        <v>سليمة</v>
      </c>
    </row>
    <row r="24" customFormat="false" ht="15" hidden="false" customHeight="false" outlineLevel="0" collapsed="false">
      <c r="A24" s="15" t="s">
        <v>24</v>
      </c>
      <c r="B24" s="15" t="s">
        <v>25</v>
      </c>
      <c r="C24" s="15" t="s">
        <v>20</v>
      </c>
      <c r="D24" s="15" t="s">
        <v>63</v>
      </c>
      <c r="E24" s="15" t="s">
        <v>21</v>
      </c>
      <c r="F24" s="19" t="n">
        <v>46293.2207262963</v>
      </c>
      <c r="G24" s="19" t="n">
        <v>46293.2361378704</v>
      </c>
      <c r="H24" s="15" t="s">
        <v>64</v>
      </c>
      <c r="I24" s="15" t="n">
        <v>22</v>
      </c>
      <c r="J24" s="15" t="n">
        <v>0</v>
      </c>
      <c r="K24" s="5" t="str">
        <f aca="false">IF(I24&gt;الإعدادات!$B$3,"شاذة","سليمة")</f>
        <v>سليمة</v>
      </c>
    </row>
    <row r="25" customFormat="false" ht="15" hidden="false" customHeight="false" outlineLevel="0" collapsed="false">
      <c r="A25" s="15" t="s">
        <v>26</v>
      </c>
      <c r="B25" s="15" t="s">
        <v>27</v>
      </c>
      <c r="C25" s="15" t="s">
        <v>20</v>
      </c>
      <c r="D25" s="15" t="s">
        <v>63</v>
      </c>
      <c r="E25" s="15" t="s">
        <v>21</v>
      </c>
      <c r="F25" s="19" t="n">
        <v>46292.6839504398</v>
      </c>
      <c r="G25" s="19" t="n">
        <v>46292.7299171528</v>
      </c>
      <c r="H25" s="15" t="s">
        <v>64</v>
      </c>
      <c r="I25" s="15" t="n">
        <v>66</v>
      </c>
      <c r="J25" s="15" t="n">
        <v>0</v>
      </c>
      <c r="K25" s="5" t="str">
        <f aca="false">IF(I25&gt;الإعدادات!$B$3,"شاذة","سليمة")</f>
        <v>سليمة</v>
      </c>
    </row>
    <row r="26" customFormat="false" ht="15" hidden="false" customHeight="false" outlineLevel="0" collapsed="false">
      <c r="A26" s="15" t="s">
        <v>18</v>
      </c>
      <c r="B26" s="15" t="s">
        <v>19</v>
      </c>
      <c r="C26" s="15" t="s">
        <v>20</v>
      </c>
      <c r="D26" s="15" t="s">
        <v>63</v>
      </c>
      <c r="E26" s="15" t="s">
        <v>21</v>
      </c>
      <c r="F26" s="19" t="n">
        <v>46292.543662037</v>
      </c>
      <c r="G26" s="19" t="n">
        <v>46292.6758679977</v>
      </c>
      <c r="H26" s="15" t="s">
        <v>64</v>
      </c>
      <c r="I26" s="15" t="n">
        <v>167</v>
      </c>
      <c r="J26" s="15" t="n">
        <v>23</v>
      </c>
      <c r="K26" s="5" t="str">
        <f aca="false">IF(I26&gt;الإعدادات!$B$3,"شاذة","سليمة")</f>
        <v>سليمة</v>
      </c>
    </row>
    <row r="27" customFormat="false" ht="15" hidden="false" customHeight="false" outlineLevel="0" collapsed="false">
      <c r="A27" s="15" t="s">
        <v>26</v>
      </c>
      <c r="B27" s="15" t="s">
        <v>27</v>
      </c>
      <c r="C27" s="15" t="s">
        <v>20</v>
      </c>
      <c r="D27" s="15" t="s">
        <v>63</v>
      </c>
      <c r="E27" s="15" t="s">
        <v>21</v>
      </c>
      <c r="F27" s="19" t="n">
        <v>46291.8969617477</v>
      </c>
      <c r="G27" s="19" t="n">
        <v>46291.9911698611</v>
      </c>
      <c r="H27" s="15" t="s">
        <v>64</v>
      </c>
      <c r="I27" s="15" t="n">
        <v>135</v>
      </c>
      <c r="J27" s="15" t="n">
        <v>0</v>
      </c>
      <c r="K27" s="5" t="str">
        <f aca="false">IF(I27&gt;الإعدادات!$B$3,"شاذة","سليمة")</f>
        <v>سليمة</v>
      </c>
    </row>
    <row r="28" customFormat="false" ht="15" hidden="false" customHeight="false" outlineLevel="0" collapsed="false">
      <c r="A28" s="15" t="s">
        <v>24</v>
      </c>
      <c r="B28" s="15" t="s">
        <v>25</v>
      </c>
      <c r="C28" s="15" t="s">
        <v>20</v>
      </c>
      <c r="D28" s="15" t="s">
        <v>63</v>
      </c>
      <c r="E28" s="15" t="s">
        <v>21</v>
      </c>
      <c r="F28" s="19" t="n">
        <v>46291.8209037153</v>
      </c>
      <c r="G28" s="19" t="n">
        <v>46291.8611079167</v>
      </c>
      <c r="H28" s="15" t="s">
        <v>64</v>
      </c>
      <c r="I28" s="15" t="n">
        <v>57</v>
      </c>
      <c r="J28" s="15" t="n">
        <v>0</v>
      </c>
      <c r="K28" s="5" t="str">
        <f aca="false">IF(I28&gt;الإعدادات!$B$3,"شاذة","سليمة")</f>
        <v>سليمة</v>
      </c>
    </row>
    <row r="29" customFormat="false" ht="15" hidden="false" customHeight="false" outlineLevel="0" collapsed="false">
      <c r="A29" s="15" t="s">
        <v>24</v>
      </c>
      <c r="B29" s="15" t="s">
        <v>25</v>
      </c>
      <c r="C29" s="15" t="s">
        <v>20</v>
      </c>
      <c r="D29" s="15" t="s">
        <v>63</v>
      </c>
      <c r="E29" s="15" t="s">
        <v>21</v>
      </c>
      <c r="F29" s="19" t="n">
        <v>46291.8208756366</v>
      </c>
      <c r="G29" s="19" t="n">
        <v>46292.3694517477</v>
      </c>
      <c r="H29" s="15" t="s">
        <v>64</v>
      </c>
      <c r="I29" s="15" t="n">
        <v>789</v>
      </c>
      <c r="J29" s="15" t="n">
        <v>0</v>
      </c>
      <c r="K29" s="5" t="str">
        <f aca="false">IF(I29&gt;الإعدادات!$B$3,"شاذة","سليمة")</f>
        <v>شاذة</v>
      </c>
    </row>
    <row r="30" customFormat="false" ht="15" hidden="false" customHeight="false" outlineLevel="0" collapsed="false">
      <c r="A30" s="15" t="s">
        <v>26</v>
      </c>
      <c r="B30" s="15" t="s">
        <v>27</v>
      </c>
      <c r="C30" s="15" t="s">
        <v>20</v>
      </c>
      <c r="D30" s="15" t="s">
        <v>63</v>
      </c>
      <c r="E30" s="15" t="s">
        <v>21</v>
      </c>
      <c r="F30" s="19" t="n">
        <v>46291.5836115278</v>
      </c>
      <c r="G30" s="19" t="n">
        <v>46291.7304172801</v>
      </c>
      <c r="H30" s="15" t="s">
        <v>64</v>
      </c>
      <c r="I30" s="15" t="n">
        <v>191</v>
      </c>
      <c r="J30" s="15" t="n">
        <v>20</v>
      </c>
      <c r="K30" s="5" t="str">
        <f aca="false">IF(I30&gt;الإعدادات!$B$3,"شاذة","سليمة")</f>
        <v>سليمة</v>
      </c>
    </row>
    <row r="31" customFormat="false" ht="15" hidden="false" customHeight="false" outlineLevel="0" collapsed="false">
      <c r="A31" s="15" t="s">
        <v>22</v>
      </c>
      <c r="B31" s="15" t="s">
        <v>23</v>
      </c>
      <c r="C31" s="15" t="s">
        <v>20</v>
      </c>
      <c r="D31" s="15" t="s">
        <v>63</v>
      </c>
      <c r="E31" s="15" t="s">
        <v>21</v>
      </c>
      <c r="F31" s="19" t="n">
        <v>46291.4718880093</v>
      </c>
      <c r="G31" s="19" t="n">
        <v>46291.9231302315</v>
      </c>
      <c r="H31" s="15" t="s">
        <v>64</v>
      </c>
      <c r="I31" s="15" t="n">
        <v>649</v>
      </c>
      <c r="J31" s="15" t="n">
        <v>0</v>
      </c>
      <c r="K31" s="5" t="str">
        <f aca="false">IF(I31&gt;الإعدادات!$B$3,"شاذة","سليمة")</f>
        <v>شاذة</v>
      </c>
    </row>
    <row r="32" customFormat="false" ht="15" hidden="false" customHeight="false" outlineLevel="0" collapsed="false">
      <c r="A32" s="15" t="s">
        <v>24</v>
      </c>
      <c r="B32" s="15" t="s">
        <v>25</v>
      </c>
      <c r="C32" s="15" t="s">
        <v>20</v>
      </c>
      <c r="D32" s="15" t="s">
        <v>63</v>
      </c>
      <c r="E32" s="15" t="s">
        <v>21</v>
      </c>
      <c r="F32" s="19" t="n">
        <v>46291.1674679167</v>
      </c>
      <c r="G32" s="19" t="n">
        <v>46291.186003287</v>
      </c>
      <c r="H32" s="15" t="s">
        <v>64</v>
      </c>
      <c r="I32" s="15" t="n">
        <v>26</v>
      </c>
      <c r="J32" s="15" t="n">
        <v>0</v>
      </c>
      <c r="K32" s="5" t="str">
        <f aca="false">IF(I32&gt;الإعدادات!$B$3,"شاذة","سليمة")</f>
        <v>سليمة</v>
      </c>
    </row>
    <row r="33" customFormat="false" ht="15" hidden="false" customHeight="false" outlineLevel="0" collapsed="false">
      <c r="A33" s="15" t="s">
        <v>24</v>
      </c>
      <c r="B33" s="15" t="s">
        <v>25</v>
      </c>
      <c r="C33" s="15" t="s">
        <v>20</v>
      </c>
      <c r="D33" s="15" t="s">
        <v>63</v>
      </c>
      <c r="E33" s="15" t="s">
        <v>21</v>
      </c>
      <c r="F33" s="19" t="n">
        <v>46290.8668859259</v>
      </c>
      <c r="G33" s="19" t="n">
        <v>46290.8927129745</v>
      </c>
      <c r="H33" s="15" t="s">
        <v>64</v>
      </c>
      <c r="I33" s="15" t="n">
        <v>37</v>
      </c>
      <c r="J33" s="15" t="n">
        <v>0</v>
      </c>
      <c r="K33" s="5" t="str">
        <f aca="false">IF(I33&gt;الإعدادات!$B$3,"شاذة","سليمة")</f>
        <v>سليمة</v>
      </c>
    </row>
    <row r="34" customFormat="false" ht="15" hidden="false" customHeight="false" outlineLevel="0" collapsed="false">
      <c r="A34" s="15" t="s">
        <v>24</v>
      </c>
      <c r="B34" s="15" t="s">
        <v>25</v>
      </c>
      <c r="C34" s="15" t="s">
        <v>20</v>
      </c>
      <c r="D34" s="15" t="s">
        <v>63</v>
      </c>
      <c r="E34" s="15" t="s">
        <v>21</v>
      </c>
      <c r="F34" s="19" t="n">
        <v>46290.8668089583</v>
      </c>
      <c r="G34" s="19" t="n">
        <v>46290.8668645949</v>
      </c>
      <c r="H34" s="15" t="s">
        <v>64</v>
      </c>
      <c r="I34" s="15" t="n">
        <v>0</v>
      </c>
      <c r="J34" s="15" t="n">
        <v>0</v>
      </c>
      <c r="K34" s="5" t="str">
        <f aca="false">IF(I34&gt;الإعدادات!$B$3,"شاذة","سليمة")</f>
        <v>سليمة</v>
      </c>
    </row>
    <row r="35" customFormat="false" ht="15" hidden="false" customHeight="false" outlineLevel="0" collapsed="false">
      <c r="A35" s="15" t="s">
        <v>22</v>
      </c>
      <c r="B35" s="15" t="s">
        <v>23</v>
      </c>
      <c r="C35" s="15" t="s">
        <v>20</v>
      </c>
      <c r="D35" s="15" t="s">
        <v>63</v>
      </c>
      <c r="E35" s="15" t="s">
        <v>21</v>
      </c>
      <c r="F35" s="19" t="n">
        <v>46290.8485678935</v>
      </c>
      <c r="G35" s="19" t="n">
        <v>46290.8617019097</v>
      </c>
      <c r="H35" s="15" t="s">
        <v>64</v>
      </c>
      <c r="I35" s="15" t="n">
        <v>18</v>
      </c>
      <c r="J35" s="15" t="n">
        <v>0</v>
      </c>
      <c r="K35" s="5" t="str">
        <f aca="false">IF(I35&gt;الإعدادات!$B$3,"شاذة","سليمة")</f>
        <v>سليمة</v>
      </c>
    </row>
    <row r="36" customFormat="false" ht="15" hidden="false" customHeight="false" outlineLevel="0" collapsed="false">
      <c r="A36" s="15" t="s">
        <v>22</v>
      </c>
      <c r="B36" s="15" t="s">
        <v>23</v>
      </c>
      <c r="C36" s="15" t="s">
        <v>20</v>
      </c>
      <c r="D36" s="15" t="s">
        <v>63</v>
      </c>
      <c r="E36" s="15" t="s">
        <v>21</v>
      </c>
      <c r="F36" s="19" t="n">
        <v>46290.8480223495</v>
      </c>
      <c r="G36" s="19" t="n">
        <v>46290.8485495602</v>
      </c>
      <c r="H36" s="15" t="s">
        <v>64</v>
      </c>
      <c r="I36" s="15" t="n">
        <v>0</v>
      </c>
      <c r="J36" s="15" t="n">
        <v>0</v>
      </c>
      <c r="K36" s="5" t="str">
        <f aca="false">IF(I36&gt;الإعدادات!$B$3,"شاذة","سليمة")</f>
        <v>سليمة</v>
      </c>
    </row>
    <row r="37" customFormat="false" ht="15" hidden="false" customHeight="false" outlineLevel="0" collapsed="false">
      <c r="A37" s="15" t="s">
        <v>24</v>
      </c>
      <c r="B37" s="15" t="s">
        <v>25</v>
      </c>
      <c r="C37" s="15" t="s">
        <v>20</v>
      </c>
      <c r="D37" s="15" t="s">
        <v>63</v>
      </c>
      <c r="E37" s="15" t="s">
        <v>21</v>
      </c>
      <c r="F37" s="19" t="n">
        <v>46290.6882658565</v>
      </c>
      <c r="G37" s="19" t="n">
        <v>46290.7295336227</v>
      </c>
      <c r="H37" s="15" t="s">
        <v>64</v>
      </c>
      <c r="I37" s="15" t="n">
        <v>26</v>
      </c>
      <c r="J37" s="15" t="n">
        <v>33</v>
      </c>
      <c r="K37" s="5" t="str">
        <f aca="false">IF(I37&gt;الإعدادات!$B$3,"شاذة","سليمة")</f>
        <v>سليمة</v>
      </c>
    </row>
    <row r="38" customFormat="false" ht="15" hidden="false" customHeight="false" outlineLevel="0" collapsed="false">
      <c r="A38" s="15" t="s">
        <v>22</v>
      </c>
      <c r="B38" s="15" t="s">
        <v>23</v>
      </c>
      <c r="C38" s="15" t="s">
        <v>20</v>
      </c>
      <c r="D38" s="15" t="s">
        <v>63</v>
      </c>
      <c r="E38" s="15" t="s">
        <v>21</v>
      </c>
      <c r="F38" s="19" t="n">
        <v>46290.5764626968</v>
      </c>
      <c r="G38" s="19" t="n">
        <v>46290.6389095255</v>
      </c>
      <c r="H38" s="15" t="s">
        <v>64</v>
      </c>
      <c r="I38" s="15" t="n">
        <v>89</v>
      </c>
      <c r="J38" s="15" t="n">
        <v>0</v>
      </c>
      <c r="K38" s="5" t="str">
        <f aca="false">IF(I38&gt;الإعدادات!$B$3,"شاذة","سليمة")</f>
        <v>سليمة</v>
      </c>
    </row>
    <row r="39" customFormat="false" ht="15" hidden="false" customHeight="false" outlineLevel="0" collapsed="false">
      <c r="A39" s="15" t="s">
        <v>26</v>
      </c>
      <c r="B39" s="15" t="s">
        <v>27</v>
      </c>
      <c r="C39" s="15" t="s">
        <v>20</v>
      </c>
      <c r="D39" s="15" t="s">
        <v>63</v>
      </c>
      <c r="E39" s="15" t="s">
        <v>21</v>
      </c>
      <c r="F39" s="19" t="n">
        <v>46290.4499890394</v>
      </c>
      <c r="G39" s="19" t="n">
        <v>46290.6910125579</v>
      </c>
      <c r="H39" s="15" t="s">
        <v>64</v>
      </c>
      <c r="I39" s="15" t="n">
        <v>347</v>
      </c>
      <c r="J39" s="15" t="n">
        <v>0</v>
      </c>
      <c r="K39" s="5" t="str">
        <f aca="false">IF(I39&gt;الإعدادات!$B$3,"شاذة","سليمة")</f>
        <v>سليمة</v>
      </c>
    </row>
    <row r="40" customFormat="false" ht="15" hidden="false" customHeight="false" outlineLevel="0" collapsed="false">
      <c r="A40" s="15" t="s">
        <v>26</v>
      </c>
      <c r="B40" s="15" t="s">
        <v>27</v>
      </c>
      <c r="C40" s="15" t="s">
        <v>20</v>
      </c>
      <c r="D40" s="15" t="s">
        <v>63</v>
      </c>
      <c r="E40" s="15" t="s">
        <v>21</v>
      </c>
      <c r="F40" s="19" t="n">
        <v>46290.3278079514</v>
      </c>
      <c r="G40" s="19" t="n">
        <v>46290.4499681134</v>
      </c>
      <c r="H40" s="15" t="s">
        <v>64</v>
      </c>
      <c r="I40" s="15" t="n">
        <v>155</v>
      </c>
      <c r="J40" s="15" t="n">
        <v>20</v>
      </c>
      <c r="K40" s="5" t="str">
        <f aca="false">IF(I40&gt;الإعدادات!$B$3,"شاذة","سليمة")</f>
        <v>سليمة</v>
      </c>
    </row>
    <row r="41" customFormat="false" ht="15" hidden="false" customHeight="false" outlineLevel="0" collapsed="false">
      <c r="A41" s="15" t="s">
        <v>26</v>
      </c>
      <c r="B41" s="15" t="s">
        <v>27</v>
      </c>
      <c r="C41" s="15" t="s">
        <v>20</v>
      </c>
      <c r="D41" s="15" t="s">
        <v>63</v>
      </c>
      <c r="E41" s="15" t="s">
        <v>21</v>
      </c>
      <c r="F41" s="19" t="n">
        <v>46290.3274921065</v>
      </c>
      <c r="G41" s="19" t="n">
        <v>46290.3277197685</v>
      </c>
      <c r="H41" s="15" t="s">
        <v>64</v>
      </c>
      <c r="I41" s="15" t="n">
        <v>0</v>
      </c>
      <c r="J41" s="15" t="n">
        <v>20</v>
      </c>
      <c r="K41" s="5" t="str">
        <f aca="false">IF(I41&gt;الإعدادات!$B$3,"شاذة","سليمة")</f>
        <v>سليمة</v>
      </c>
    </row>
    <row r="42" customFormat="false" ht="15" hidden="false" customHeight="false" outlineLevel="0" collapsed="false">
      <c r="A42" s="15" t="s">
        <v>24</v>
      </c>
      <c r="B42" s="15" t="s">
        <v>25</v>
      </c>
      <c r="C42" s="15" t="s">
        <v>20</v>
      </c>
      <c r="D42" s="15" t="s">
        <v>63</v>
      </c>
      <c r="E42" s="15" t="s">
        <v>21</v>
      </c>
      <c r="F42" s="19" t="n">
        <v>46290.2531523727</v>
      </c>
      <c r="G42" s="19" t="n">
        <v>46290.2531918403</v>
      </c>
      <c r="H42" s="15" t="s">
        <v>64</v>
      </c>
      <c r="I42" s="15" t="n">
        <v>0</v>
      </c>
      <c r="J42" s="15" t="n">
        <v>0</v>
      </c>
      <c r="K42" s="5" t="str">
        <f aca="false">IF(I42&gt;الإعدادات!$B$3,"شاذة","سليمة")</f>
        <v>سليمة</v>
      </c>
    </row>
    <row r="43" customFormat="false" ht="15" hidden="false" customHeight="false" outlineLevel="0" collapsed="false">
      <c r="A43" s="15" t="s">
        <v>24</v>
      </c>
      <c r="B43" s="15" t="s">
        <v>25</v>
      </c>
      <c r="C43" s="15" t="s">
        <v>20</v>
      </c>
      <c r="D43" s="15" t="s">
        <v>63</v>
      </c>
      <c r="E43" s="15" t="s">
        <v>21</v>
      </c>
      <c r="F43" s="19" t="n">
        <v>46290.2505668403</v>
      </c>
      <c r="G43" s="19" t="n">
        <v>46290.2531198495</v>
      </c>
      <c r="H43" s="15" t="s">
        <v>64</v>
      </c>
      <c r="I43" s="15" t="n">
        <v>3</v>
      </c>
      <c r="J43" s="15" t="n">
        <v>0</v>
      </c>
      <c r="K43" s="5" t="str">
        <f aca="false">IF(I43&gt;الإعدادات!$B$3,"شاذة","سليمة")</f>
        <v>سليمة</v>
      </c>
    </row>
    <row r="44" customFormat="false" ht="15" hidden="false" customHeight="false" outlineLevel="0" collapsed="false">
      <c r="A44" s="15" t="s">
        <v>24</v>
      </c>
      <c r="B44" s="15" t="s">
        <v>25</v>
      </c>
      <c r="C44" s="15" t="s">
        <v>20</v>
      </c>
      <c r="D44" s="15" t="s">
        <v>63</v>
      </c>
      <c r="E44" s="15" t="s">
        <v>21</v>
      </c>
      <c r="F44" s="19" t="n">
        <v>46290.2504021065</v>
      </c>
      <c r="G44" s="19" t="n">
        <v>46290.2504569097</v>
      </c>
      <c r="H44" s="15" t="s">
        <v>64</v>
      </c>
      <c r="I44" s="15" t="n">
        <v>0</v>
      </c>
      <c r="J44" s="15" t="n">
        <v>20</v>
      </c>
      <c r="K44" s="5" t="str">
        <f aca="false">IF(I44&gt;الإعدادات!$B$3,"شاذة","سليمة")</f>
        <v>سليمة</v>
      </c>
    </row>
    <row r="45" customFormat="false" ht="15" hidden="false" customHeight="false" outlineLevel="0" collapsed="false">
      <c r="A45" s="15" t="s">
        <v>24</v>
      </c>
      <c r="B45" s="15" t="s">
        <v>25</v>
      </c>
      <c r="C45" s="15" t="s">
        <v>20</v>
      </c>
      <c r="D45" s="15" t="s">
        <v>63</v>
      </c>
      <c r="E45" s="15" t="s">
        <v>21</v>
      </c>
      <c r="F45" s="19" t="n">
        <v>46290.0951737731</v>
      </c>
      <c r="G45" s="19" t="n">
        <v>46290.0952262847</v>
      </c>
      <c r="H45" s="15" t="s">
        <v>64</v>
      </c>
      <c r="I45" s="15" t="n">
        <v>0</v>
      </c>
      <c r="J45" s="15" t="n">
        <v>0</v>
      </c>
      <c r="K45" s="5" t="str">
        <f aca="false">IF(I45&gt;الإعدادات!$B$3,"شاذة","سليمة")</f>
        <v>سليمة</v>
      </c>
    </row>
    <row r="46" customFormat="false" ht="15" hidden="false" customHeight="false" outlineLevel="0" collapsed="false">
      <c r="A46" s="15" t="s">
        <v>24</v>
      </c>
      <c r="B46" s="15" t="s">
        <v>25</v>
      </c>
      <c r="C46" s="15" t="s">
        <v>20</v>
      </c>
      <c r="D46" s="15" t="s">
        <v>63</v>
      </c>
      <c r="E46" s="15" t="s">
        <v>21</v>
      </c>
      <c r="F46" s="19" t="n">
        <v>46290.0938298148</v>
      </c>
      <c r="G46" s="19" t="n">
        <v>46290.0951636458</v>
      </c>
      <c r="H46" s="15" t="s">
        <v>64</v>
      </c>
      <c r="I46" s="15" t="n">
        <v>0</v>
      </c>
      <c r="J46" s="15" t="n">
        <v>20</v>
      </c>
      <c r="K46" s="5" t="str">
        <f aca="false">IF(I46&gt;الإعدادات!$B$3,"شاذة","سليمة")</f>
        <v>سليمة</v>
      </c>
    </row>
    <row r="47" customFormat="false" ht="15" hidden="false" customHeight="false" outlineLevel="0" collapsed="false">
      <c r="A47" s="15" t="s">
        <v>24</v>
      </c>
      <c r="B47" s="15" t="s">
        <v>25</v>
      </c>
      <c r="C47" s="15" t="s">
        <v>20</v>
      </c>
      <c r="D47" s="15" t="s">
        <v>63</v>
      </c>
      <c r="E47" s="15" t="s">
        <v>21</v>
      </c>
      <c r="F47" s="19" t="n">
        <v>46289.8976365394</v>
      </c>
      <c r="G47" s="19" t="n">
        <v>46289.8976453241</v>
      </c>
      <c r="H47" s="15" t="s">
        <v>64</v>
      </c>
      <c r="I47" s="15" t="n">
        <v>0</v>
      </c>
      <c r="J47" s="15" t="n">
        <v>0</v>
      </c>
      <c r="K47" s="5" t="str">
        <f aca="false">IF(I47&gt;الإعدادات!$B$3,"شاذة","سليمة")</f>
        <v>سليمة</v>
      </c>
    </row>
    <row r="48" customFormat="false" ht="15" hidden="false" customHeight="false" outlineLevel="0" collapsed="false">
      <c r="A48" s="15" t="s">
        <v>24</v>
      </c>
      <c r="B48" s="15" t="s">
        <v>25</v>
      </c>
      <c r="C48" s="15" t="s">
        <v>20</v>
      </c>
      <c r="D48" s="15" t="s">
        <v>63</v>
      </c>
      <c r="E48" s="15" t="s">
        <v>21</v>
      </c>
      <c r="F48" s="19" t="n">
        <v>46289.6085489931</v>
      </c>
      <c r="G48" s="19" t="n">
        <v>46289.7137681019</v>
      </c>
      <c r="H48" s="15" t="s">
        <v>64</v>
      </c>
      <c r="I48" s="15" t="n">
        <v>131</v>
      </c>
      <c r="J48" s="15" t="n">
        <v>20</v>
      </c>
      <c r="K48" s="5" t="str">
        <f aca="false">IF(I48&gt;الإعدادات!$B$3,"شاذة","سليمة")</f>
        <v>سليمة</v>
      </c>
    </row>
    <row r="49" customFormat="false" ht="15" hidden="false" customHeight="false" outlineLevel="0" collapsed="false">
      <c r="A49" s="15" t="s">
        <v>24</v>
      </c>
      <c r="B49" s="15" t="s">
        <v>25</v>
      </c>
      <c r="C49" s="15" t="s">
        <v>20</v>
      </c>
      <c r="D49" s="15" t="s">
        <v>63</v>
      </c>
      <c r="E49" s="15" t="s">
        <v>21</v>
      </c>
      <c r="F49" s="19" t="n">
        <v>46289.5795489583</v>
      </c>
      <c r="G49" s="19" t="n">
        <v>46289.5810973958</v>
      </c>
      <c r="H49" s="15" t="s">
        <v>64</v>
      </c>
      <c r="I49" s="15" t="n">
        <v>2</v>
      </c>
      <c r="J49" s="15" t="n">
        <v>0</v>
      </c>
      <c r="K49" s="5" t="str">
        <f aca="false">IF(I49&gt;الإعدادات!$B$3,"شاذة","سليمة")</f>
        <v>سليمة</v>
      </c>
    </row>
    <row r="50" customFormat="false" ht="15" hidden="false" customHeight="false" outlineLevel="0" collapsed="false">
      <c r="A50" s="15" t="s">
        <v>24</v>
      </c>
      <c r="B50" s="15" t="s">
        <v>25</v>
      </c>
      <c r="C50" s="15" t="s">
        <v>20</v>
      </c>
      <c r="D50" s="15" t="s">
        <v>63</v>
      </c>
      <c r="E50" s="15" t="s">
        <v>21</v>
      </c>
      <c r="F50" s="19" t="n">
        <v>46289.2054654977</v>
      </c>
      <c r="G50" s="19" t="n">
        <v>46289.2129691204</v>
      </c>
      <c r="H50" s="15" t="s">
        <v>64</v>
      </c>
      <c r="I50" s="15" t="n">
        <v>10</v>
      </c>
      <c r="J50" s="15" t="n">
        <v>0</v>
      </c>
      <c r="K50" s="5" t="str">
        <f aca="false">IF(I50&gt;الإعدادات!$B$3,"شاذة","سليمة")</f>
        <v>سليمة</v>
      </c>
    </row>
    <row r="51" customFormat="false" ht="15" hidden="false" customHeight="false" outlineLevel="0" collapsed="false">
      <c r="A51" s="15" t="s">
        <v>24</v>
      </c>
      <c r="B51" s="15" t="s">
        <v>25</v>
      </c>
      <c r="C51" s="15" t="s">
        <v>20</v>
      </c>
      <c r="D51" s="15" t="s">
        <v>63</v>
      </c>
      <c r="E51" s="15" t="s">
        <v>21</v>
      </c>
      <c r="F51" s="19" t="n">
        <v>46288.7952932639</v>
      </c>
      <c r="G51" s="19" t="n">
        <v>46288.8455410648</v>
      </c>
      <c r="H51" s="15" t="s">
        <v>64</v>
      </c>
      <c r="I51" s="15" t="n">
        <v>72</v>
      </c>
      <c r="J51" s="15" t="n">
        <v>0</v>
      </c>
      <c r="K51" s="5" t="str">
        <f aca="false">IF(I51&gt;الإعدادات!$B$3,"شاذة","سليمة")</f>
        <v>سليمة</v>
      </c>
    </row>
    <row r="52" customFormat="false" ht="15" hidden="false" customHeight="false" outlineLevel="0" collapsed="false">
      <c r="A52" s="15" t="s">
        <v>26</v>
      </c>
      <c r="B52" s="15" t="s">
        <v>27</v>
      </c>
      <c r="C52" s="15" t="s">
        <v>20</v>
      </c>
      <c r="D52" s="15" t="s">
        <v>63</v>
      </c>
      <c r="E52" s="15" t="s">
        <v>21</v>
      </c>
      <c r="F52" s="19" t="n">
        <v>46288.7368730903</v>
      </c>
      <c r="G52" s="19" t="n">
        <v>46288.9608738542</v>
      </c>
      <c r="H52" s="15" t="s">
        <v>64</v>
      </c>
      <c r="I52" s="15" t="n">
        <v>302</v>
      </c>
      <c r="J52" s="15" t="n">
        <v>20</v>
      </c>
      <c r="K52" s="5" t="str">
        <f aca="false">IF(I52&gt;الإعدادات!$B$3,"شاذة","سليمة")</f>
        <v>سليمة</v>
      </c>
    </row>
    <row r="53" customFormat="false" ht="15" hidden="false" customHeight="false" outlineLevel="0" collapsed="false">
      <c r="A53" s="15" t="s">
        <v>24</v>
      </c>
      <c r="B53" s="15" t="s">
        <v>25</v>
      </c>
      <c r="C53" s="15" t="s">
        <v>20</v>
      </c>
      <c r="D53" s="15" t="s">
        <v>63</v>
      </c>
      <c r="E53" s="15" t="s">
        <v>21</v>
      </c>
      <c r="F53" s="19" t="n">
        <v>46288.1962934607</v>
      </c>
      <c r="G53" s="19" t="n">
        <v>46288.2157698148</v>
      </c>
      <c r="H53" s="15" t="s">
        <v>64</v>
      </c>
      <c r="I53" s="15" t="n">
        <v>28</v>
      </c>
      <c r="J53" s="15" t="n">
        <v>0</v>
      </c>
      <c r="K53" s="5" t="str">
        <f aca="false">IF(I53&gt;الإعدادات!$B$3,"شاذة","سليمة")</f>
        <v>سليمة</v>
      </c>
    </row>
    <row r="54" customFormat="false" ht="15" hidden="false" customHeight="false" outlineLevel="0" collapsed="false">
      <c r="A54" s="15" t="s">
        <v>18</v>
      </c>
      <c r="B54" s="15" t="s">
        <v>19</v>
      </c>
      <c r="C54" s="15" t="s">
        <v>20</v>
      </c>
      <c r="D54" s="15" t="s">
        <v>63</v>
      </c>
      <c r="E54" s="15" t="s">
        <v>21</v>
      </c>
      <c r="F54" s="19" t="n">
        <v>46287.7399354282</v>
      </c>
      <c r="G54" s="19" t="n">
        <v>46287.7791886227</v>
      </c>
      <c r="H54" s="15" t="s">
        <v>64</v>
      </c>
      <c r="I54" s="15" t="n">
        <v>56</v>
      </c>
      <c r="J54" s="15" t="n">
        <v>0</v>
      </c>
      <c r="K54" s="5" t="str">
        <f aca="false">IF(I54&gt;الإعدادات!$B$3,"شاذة","سليمة")</f>
        <v>سليمة</v>
      </c>
    </row>
    <row r="55" customFormat="false" ht="15" hidden="false" customHeight="false" outlineLevel="0" collapsed="false">
      <c r="A55" s="15" t="s">
        <v>22</v>
      </c>
      <c r="B55" s="15" t="s">
        <v>23</v>
      </c>
      <c r="C55" s="15" t="s">
        <v>20</v>
      </c>
      <c r="D55" s="15" t="s">
        <v>63</v>
      </c>
      <c r="E55" s="15" t="s">
        <v>21</v>
      </c>
      <c r="F55" s="19" t="n">
        <v>46287.6254309491</v>
      </c>
      <c r="G55" s="19" t="n">
        <v>46287.7329955556</v>
      </c>
      <c r="H55" s="15" t="s">
        <v>64</v>
      </c>
      <c r="I55" s="15" t="n">
        <v>154</v>
      </c>
      <c r="J55" s="15" t="n">
        <v>0</v>
      </c>
      <c r="K55" s="5" t="str">
        <f aca="false">IF(I55&gt;الإعدادات!$B$3,"شاذة","سليمة")</f>
        <v>سليمة</v>
      </c>
    </row>
    <row r="56" customFormat="false" ht="15" hidden="false" customHeight="false" outlineLevel="0" collapsed="false">
      <c r="A56" s="15" t="s">
        <v>26</v>
      </c>
      <c r="B56" s="15" t="s">
        <v>27</v>
      </c>
      <c r="C56" s="15" t="s">
        <v>20</v>
      </c>
      <c r="D56" s="15" t="s">
        <v>63</v>
      </c>
      <c r="E56" s="15" t="s">
        <v>21</v>
      </c>
      <c r="F56" s="19" t="n">
        <v>46287.5543588542</v>
      </c>
      <c r="G56" s="19" t="n">
        <v>46287.5543980787</v>
      </c>
      <c r="H56" s="15" t="s">
        <v>64</v>
      </c>
      <c r="I56" s="15" t="n">
        <v>0</v>
      </c>
      <c r="J56" s="15" t="n">
        <v>0</v>
      </c>
      <c r="K56" s="5" t="str">
        <f aca="false">IF(I56&gt;الإعدادات!$B$3,"شاذة","سليمة")</f>
        <v>سليمة</v>
      </c>
    </row>
    <row r="57" customFormat="false" ht="15" hidden="false" customHeight="false" outlineLevel="0" collapsed="false">
      <c r="A57" s="15" t="s">
        <v>22</v>
      </c>
      <c r="B57" s="15" t="s">
        <v>23</v>
      </c>
      <c r="C57" s="15" t="s">
        <v>20</v>
      </c>
      <c r="D57" s="15" t="s">
        <v>63</v>
      </c>
      <c r="E57" s="15" t="s">
        <v>21</v>
      </c>
      <c r="F57" s="19" t="n">
        <v>46287.4999862384</v>
      </c>
      <c r="G57" s="19" t="n">
        <v>46287.5413068287</v>
      </c>
      <c r="H57" s="15" t="s">
        <v>64</v>
      </c>
      <c r="I57" s="15" t="n">
        <v>59</v>
      </c>
      <c r="J57" s="15" t="n">
        <v>0</v>
      </c>
      <c r="K57" s="5" t="str">
        <f aca="false">IF(I57&gt;الإعدادات!$B$3,"شاذة","سليمة")</f>
        <v>سليمة</v>
      </c>
    </row>
    <row r="58" customFormat="false" ht="15" hidden="false" customHeight="false" outlineLevel="0" collapsed="false">
      <c r="A58" s="15" t="s">
        <v>24</v>
      </c>
      <c r="B58" s="15" t="s">
        <v>25</v>
      </c>
      <c r="C58" s="15" t="s">
        <v>20</v>
      </c>
      <c r="D58" s="15" t="s">
        <v>63</v>
      </c>
      <c r="E58" s="15" t="s">
        <v>21</v>
      </c>
      <c r="F58" s="19" t="n">
        <v>46287.199954537</v>
      </c>
      <c r="G58" s="19" t="n">
        <v>46287.2129234028</v>
      </c>
      <c r="H58" s="15" t="s">
        <v>64</v>
      </c>
      <c r="I58" s="15" t="n">
        <v>0</v>
      </c>
      <c r="J58" s="15" t="n">
        <v>20</v>
      </c>
      <c r="K58" s="5" t="str">
        <f aca="false">IF(I58&gt;الإعدادات!$B$3,"شاذة","سليمة")</f>
        <v>سليمة</v>
      </c>
    </row>
    <row r="59" customFormat="false" ht="15" hidden="false" customHeight="false" outlineLevel="0" collapsed="false">
      <c r="A59" s="15" t="s">
        <v>26</v>
      </c>
      <c r="B59" s="15" t="s">
        <v>27</v>
      </c>
      <c r="C59" s="15" t="s">
        <v>20</v>
      </c>
      <c r="D59" s="15" t="s">
        <v>63</v>
      </c>
      <c r="E59" s="15" t="s">
        <v>21</v>
      </c>
      <c r="F59" s="19" t="n">
        <v>46286.7941612037</v>
      </c>
      <c r="G59" s="19" t="n">
        <v>46287.5539960301</v>
      </c>
      <c r="H59" s="15" t="s">
        <v>64</v>
      </c>
      <c r="I59" s="15" t="n">
        <v>1094</v>
      </c>
      <c r="J59" s="15" t="n">
        <v>0</v>
      </c>
      <c r="K59" s="5" t="str">
        <f aca="false">IF(I59&gt;الإعدادات!$B$3,"شاذة","سليمة")</f>
        <v>شاذة</v>
      </c>
    </row>
    <row r="60" customFormat="false" ht="15" hidden="false" customHeight="false" outlineLevel="0" collapsed="false">
      <c r="A60" s="15" t="s">
        <v>24</v>
      </c>
      <c r="B60" s="15" t="s">
        <v>25</v>
      </c>
      <c r="C60" s="15" t="s">
        <v>20</v>
      </c>
      <c r="D60" s="15" t="s">
        <v>63</v>
      </c>
      <c r="E60" s="15" t="s">
        <v>21</v>
      </c>
      <c r="F60" s="19" t="n">
        <v>46286.7575203125</v>
      </c>
      <c r="G60" s="19" t="n">
        <v>46286.8312214236</v>
      </c>
      <c r="H60" s="15" t="s">
        <v>64</v>
      </c>
      <c r="I60" s="15" t="n">
        <v>86</v>
      </c>
      <c r="J60" s="15" t="n">
        <v>20</v>
      </c>
      <c r="K60" s="5" t="str">
        <f aca="false">IF(I60&gt;الإعدادات!$B$3,"شاذة","سليمة")</f>
        <v>سليمة</v>
      </c>
    </row>
    <row r="61" customFormat="false" ht="15" hidden="false" customHeight="false" outlineLevel="0" collapsed="false">
      <c r="A61" s="15" t="s">
        <v>26</v>
      </c>
      <c r="B61" s="15" t="s">
        <v>27</v>
      </c>
      <c r="C61" s="15" t="s">
        <v>20</v>
      </c>
      <c r="D61" s="15" t="s">
        <v>63</v>
      </c>
      <c r="E61" s="15" t="s">
        <v>21</v>
      </c>
      <c r="F61" s="19" t="n">
        <v>46286.5796798148</v>
      </c>
      <c r="G61" s="19" t="n">
        <v>46286.7941365741</v>
      </c>
      <c r="H61" s="15" t="s">
        <v>64</v>
      </c>
      <c r="I61" s="15" t="n">
        <v>288</v>
      </c>
      <c r="J61" s="15" t="n">
        <v>20</v>
      </c>
      <c r="K61" s="5" t="str">
        <f aca="false">IF(I61&gt;الإعدادات!$B$3,"شاذة","سليمة")</f>
        <v>سليمة</v>
      </c>
    </row>
    <row r="62" customFormat="false" ht="15" hidden="false" customHeight="false" outlineLevel="0" collapsed="false">
      <c r="A62" s="15" t="s">
        <v>24</v>
      </c>
      <c r="B62" s="15" t="s">
        <v>25</v>
      </c>
      <c r="C62" s="15" t="s">
        <v>20</v>
      </c>
      <c r="D62" s="15" t="s">
        <v>63</v>
      </c>
      <c r="E62" s="15" t="s">
        <v>21</v>
      </c>
      <c r="F62" s="19" t="n">
        <v>46286.3816545255</v>
      </c>
      <c r="G62" s="19" t="n">
        <v>46286.3973435069</v>
      </c>
      <c r="H62" s="15" t="s">
        <v>64</v>
      </c>
      <c r="I62" s="15" t="n">
        <v>22</v>
      </c>
      <c r="J62" s="15" t="n">
        <v>0</v>
      </c>
      <c r="K62" s="5" t="str">
        <f aca="false">IF(I62&gt;الإعدادات!$B$3,"شاذة","سليمة")</f>
        <v>سليمة</v>
      </c>
    </row>
    <row r="63" customFormat="false" ht="15" hidden="false" customHeight="false" outlineLevel="0" collapsed="false">
      <c r="A63" s="15" t="s">
        <v>18</v>
      </c>
      <c r="B63" s="15" t="s">
        <v>19</v>
      </c>
      <c r="C63" s="15" t="s">
        <v>20</v>
      </c>
      <c r="D63" s="15" t="s">
        <v>63</v>
      </c>
      <c r="E63" s="15" t="s">
        <v>21</v>
      </c>
      <c r="F63" s="19" t="n">
        <v>46285.6707883449</v>
      </c>
      <c r="G63" s="19" t="n">
        <v>46285.7027840972</v>
      </c>
      <c r="H63" s="15" t="s">
        <v>64</v>
      </c>
      <c r="I63" s="15" t="n">
        <v>46</v>
      </c>
      <c r="J63" s="15" t="n">
        <v>0</v>
      </c>
      <c r="K63" s="5" t="str">
        <f aca="false">IF(I63&gt;الإعدادات!$B$3,"شاذة","سليمة")</f>
        <v>سليمة</v>
      </c>
    </row>
    <row r="64" customFormat="false" ht="15" hidden="false" customHeight="false" outlineLevel="0" collapsed="false">
      <c r="A64" s="15" t="s">
        <v>18</v>
      </c>
      <c r="B64" s="15" t="s">
        <v>19</v>
      </c>
      <c r="C64" s="15" t="s">
        <v>20</v>
      </c>
      <c r="D64" s="15" t="s">
        <v>63</v>
      </c>
      <c r="E64" s="15" t="s">
        <v>21</v>
      </c>
      <c r="F64" s="19" t="n">
        <v>46285.6696879514</v>
      </c>
      <c r="G64" s="19" t="n">
        <v>46285.6707694213</v>
      </c>
      <c r="H64" s="15" t="s">
        <v>64</v>
      </c>
      <c r="I64" s="15" t="n">
        <v>0</v>
      </c>
      <c r="J64" s="15" t="n">
        <v>20</v>
      </c>
      <c r="K64" s="5" t="str">
        <f aca="false">IF(I64&gt;الإعدادات!$B$3,"شاذة","سليمة")</f>
        <v>سليمة</v>
      </c>
    </row>
    <row r="65" customFormat="false" ht="15" hidden="false" customHeight="false" outlineLevel="0" collapsed="false">
      <c r="A65" s="15" t="s">
        <v>24</v>
      </c>
      <c r="B65" s="15" t="s">
        <v>25</v>
      </c>
      <c r="C65" s="15" t="s">
        <v>20</v>
      </c>
      <c r="D65" s="15" t="s">
        <v>63</v>
      </c>
      <c r="E65" s="15" t="s">
        <v>21</v>
      </c>
      <c r="F65" s="19" t="n">
        <v>46285.3902629514</v>
      </c>
      <c r="G65" s="19" t="n">
        <v>46285.4088416782</v>
      </c>
      <c r="H65" s="15" t="s">
        <v>64</v>
      </c>
      <c r="I65" s="15" t="n">
        <v>26</v>
      </c>
      <c r="J65" s="15" t="n">
        <v>0</v>
      </c>
      <c r="K65" s="5" t="str">
        <f aca="false">IF(I65&gt;الإعدادات!$B$3,"شاذة","سليمة")</f>
        <v>سليمة</v>
      </c>
    </row>
    <row r="66" customFormat="false" ht="15" hidden="false" customHeight="false" outlineLevel="0" collapsed="false">
      <c r="A66" s="15" t="s">
        <v>24</v>
      </c>
      <c r="B66" s="15" t="s">
        <v>25</v>
      </c>
      <c r="C66" s="15" t="s">
        <v>20</v>
      </c>
      <c r="D66" s="15" t="s">
        <v>63</v>
      </c>
      <c r="E66" s="15" t="s">
        <v>21</v>
      </c>
      <c r="F66" s="19" t="n">
        <v>46285.2412900116</v>
      </c>
      <c r="G66" s="19" t="n">
        <v>46285.248441412</v>
      </c>
      <c r="H66" s="15" t="s">
        <v>64</v>
      </c>
      <c r="I66" s="15" t="n">
        <v>10</v>
      </c>
      <c r="J66" s="15" t="n">
        <v>0</v>
      </c>
      <c r="K66" s="5" t="str">
        <f aca="false">IF(I66&gt;الإعدادات!$B$3,"شاذة","سليمة")</f>
        <v>سليمة</v>
      </c>
    </row>
    <row r="67" customFormat="false" ht="15" hidden="false" customHeight="false" outlineLevel="0" collapsed="false">
      <c r="A67" s="15" t="s">
        <v>26</v>
      </c>
      <c r="B67" s="15" t="s">
        <v>27</v>
      </c>
      <c r="C67" s="15" t="s">
        <v>20</v>
      </c>
      <c r="D67" s="15" t="s">
        <v>63</v>
      </c>
      <c r="E67" s="15" t="s">
        <v>21</v>
      </c>
      <c r="F67" s="19" t="n">
        <v>46284.8189678009</v>
      </c>
      <c r="G67" s="19" t="n">
        <v>46285.0001799653</v>
      </c>
      <c r="H67" s="15" t="s">
        <v>64</v>
      </c>
      <c r="I67" s="15" t="n">
        <v>240</v>
      </c>
      <c r="J67" s="15" t="n">
        <v>20</v>
      </c>
      <c r="K67" s="5" t="str">
        <f aca="false">IF(I67&gt;الإعدادات!$B$3,"شاذة","سليمة")</f>
        <v>سليمة</v>
      </c>
    </row>
    <row r="68" customFormat="false" ht="15" hidden="false" customHeight="false" outlineLevel="0" collapsed="false">
      <c r="A68" s="15" t="s">
        <v>24</v>
      </c>
      <c r="B68" s="15" t="s">
        <v>25</v>
      </c>
      <c r="C68" s="15" t="s">
        <v>20</v>
      </c>
      <c r="D68" s="15" t="s">
        <v>63</v>
      </c>
      <c r="E68" s="15" t="s">
        <v>21</v>
      </c>
      <c r="F68" s="19" t="n">
        <v>46284.5138391782</v>
      </c>
      <c r="G68" s="19" t="n">
        <v>46284.5139404282</v>
      </c>
      <c r="H68" s="15" t="s">
        <v>64</v>
      </c>
      <c r="I68" s="15" t="n">
        <v>0</v>
      </c>
      <c r="J68" s="15" t="n">
        <v>0</v>
      </c>
      <c r="K68" s="5" t="str">
        <f aca="false">IF(I68&gt;الإعدادات!$B$3,"شاذة","سليمة")</f>
        <v>سليمة</v>
      </c>
    </row>
    <row r="69" customFormat="false" ht="15" hidden="false" customHeight="false" outlineLevel="0" collapsed="false">
      <c r="A69" s="15" t="s">
        <v>26</v>
      </c>
      <c r="B69" s="15" t="s">
        <v>27</v>
      </c>
      <c r="C69" s="15" t="s">
        <v>20</v>
      </c>
      <c r="D69" s="15" t="s">
        <v>63</v>
      </c>
      <c r="E69" s="15" t="s">
        <v>21</v>
      </c>
      <c r="F69" s="19" t="n">
        <v>46283.8908634375</v>
      </c>
      <c r="G69" s="19" t="n">
        <v>46284.0345373727</v>
      </c>
      <c r="H69" s="15" t="s">
        <v>64</v>
      </c>
      <c r="I69" s="15" t="n">
        <v>186</v>
      </c>
      <c r="J69" s="15" t="n">
        <v>20</v>
      </c>
      <c r="K69" s="5" t="str">
        <f aca="false">IF(I69&gt;الإعدادات!$B$3,"شاذة","سليمة")</f>
        <v>سليمة</v>
      </c>
    </row>
    <row r="70" customFormat="false" ht="15" hidden="false" customHeight="false" outlineLevel="0" collapsed="false">
      <c r="A70" s="15" t="s">
        <v>24</v>
      </c>
      <c r="B70" s="15" t="s">
        <v>25</v>
      </c>
      <c r="C70" s="15" t="s">
        <v>20</v>
      </c>
      <c r="D70" s="15" t="s">
        <v>63</v>
      </c>
      <c r="E70" s="15" t="s">
        <v>21</v>
      </c>
      <c r="F70" s="19" t="n">
        <v>46283.7020535995</v>
      </c>
      <c r="G70" s="19" t="n">
        <v>46283.7173921181</v>
      </c>
      <c r="H70" s="15" t="s">
        <v>64</v>
      </c>
      <c r="I70" s="15" t="n">
        <v>22</v>
      </c>
      <c r="J70" s="15" t="n">
        <v>0</v>
      </c>
      <c r="K70" s="5" t="str">
        <f aca="false">IF(I70&gt;الإعدادات!$B$3,"شاذة","سليمة")</f>
        <v>سليمة</v>
      </c>
    </row>
    <row r="71" customFormat="false" ht="15" hidden="false" customHeight="false" outlineLevel="0" collapsed="false">
      <c r="A71" s="15" t="s">
        <v>22</v>
      </c>
      <c r="B71" s="15" t="s">
        <v>23</v>
      </c>
      <c r="C71" s="15" t="s">
        <v>20</v>
      </c>
      <c r="D71" s="15" t="s">
        <v>63</v>
      </c>
      <c r="E71" s="15" t="s">
        <v>21</v>
      </c>
      <c r="F71" s="19" t="n">
        <v>46283.6759888657</v>
      </c>
      <c r="G71" s="19" t="n">
        <v>46283.6475955324</v>
      </c>
      <c r="H71" s="15" t="s">
        <v>64</v>
      </c>
      <c r="I71" s="15" t="n">
        <v>0</v>
      </c>
      <c r="J71" s="15" t="n">
        <v>20</v>
      </c>
      <c r="K71" s="5" t="str">
        <f aca="false">IF(I71&gt;الإعدادات!$B$3,"شاذة","سليمة")</f>
        <v>سليمة</v>
      </c>
    </row>
    <row r="72" customFormat="false" ht="15" hidden="false" customHeight="false" outlineLevel="0" collapsed="false">
      <c r="A72" s="15" t="s">
        <v>22</v>
      </c>
      <c r="B72" s="15" t="s">
        <v>23</v>
      </c>
      <c r="C72" s="15" t="s">
        <v>20</v>
      </c>
      <c r="D72" s="15" t="s">
        <v>63</v>
      </c>
      <c r="E72" s="15" t="s">
        <v>21</v>
      </c>
      <c r="F72" s="19" t="n">
        <v>46283.6476086343</v>
      </c>
      <c r="G72" s="19" t="n">
        <v>46283.7267554745</v>
      </c>
      <c r="H72" s="15" t="s">
        <v>64</v>
      </c>
      <c r="I72" s="15" t="n">
        <v>113</v>
      </c>
      <c r="J72" s="15" t="n">
        <v>0</v>
      </c>
      <c r="K72" s="5" t="str">
        <f aca="false">IF(I72&gt;الإعدادات!$B$3,"شاذة","سليمة")</f>
        <v>سليمة</v>
      </c>
    </row>
    <row r="73" customFormat="false" ht="15" hidden="false" customHeight="false" outlineLevel="0" collapsed="false">
      <c r="A73" s="15" t="s">
        <v>22</v>
      </c>
      <c r="B73" s="15" t="s">
        <v>23</v>
      </c>
      <c r="C73" s="15" t="s">
        <v>20</v>
      </c>
      <c r="D73" s="15" t="s">
        <v>63</v>
      </c>
      <c r="E73" s="15" t="s">
        <v>21</v>
      </c>
      <c r="F73" s="19" t="n">
        <v>46283.6304679398</v>
      </c>
      <c r="G73" s="19" t="n">
        <v>46283.6553795949</v>
      </c>
      <c r="H73" s="15" t="s">
        <v>64</v>
      </c>
      <c r="I73" s="15" t="n">
        <v>35</v>
      </c>
      <c r="J73" s="15" t="n">
        <v>0</v>
      </c>
      <c r="K73" s="5" t="str">
        <f aca="false">IF(I73&gt;الإعدادات!$B$3,"شاذة","سليمة")</f>
        <v>سليمة</v>
      </c>
    </row>
    <row r="74" customFormat="false" ht="15" hidden="false" customHeight="false" outlineLevel="0" collapsed="false">
      <c r="A74" s="15" t="s">
        <v>24</v>
      </c>
      <c r="B74" s="15" t="s">
        <v>25</v>
      </c>
      <c r="C74" s="15" t="s">
        <v>20</v>
      </c>
      <c r="D74" s="15" t="s">
        <v>63</v>
      </c>
      <c r="E74" s="15" t="s">
        <v>21</v>
      </c>
      <c r="F74" s="19" t="n">
        <v>46283.598511331</v>
      </c>
      <c r="G74" s="19" t="n">
        <v>46283.6862959028</v>
      </c>
      <c r="H74" s="15" t="s">
        <v>64</v>
      </c>
      <c r="I74" s="15" t="n">
        <v>106</v>
      </c>
      <c r="J74" s="15" t="n">
        <v>20</v>
      </c>
      <c r="K74" s="5" t="str">
        <f aca="false">IF(I74&gt;الإعدادات!$B$3,"شاذة","سليمة")</f>
        <v>سليمة</v>
      </c>
    </row>
    <row r="75" customFormat="false" ht="15" hidden="false" customHeight="false" outlineLevel="0" collapsed="false">
      <c r="A75" s="15" t="s">
        <v>22</v>
      </c>
      <c r="B75" s="15" t="s">
        <v>23</v>
      </c>
      <c r="C75" s="15" t="s">
        <v>20</v>
      </c>
      <c r="D75" s="15" t="s">
        <v>63</v>
      </c>
      <c r="E75" s="15" t="s">
        <v>21</v>
      </c>
      <c r="F75" s="19" t="n">
        <v>46283.5901220486</v>
      </c>
      <c r="G75" s="19" t="n">
        <v>46283.628824213</v>
      </c>
      <c r="H75" s="15" t="s">
        <v>64</v>
      </c>
      <c r="I75" s="15" t="n">
        <v>55</v>
      </c>
      <c r="J75" s="15" t="n">
        <v>0</v>
      </c>
      <c r="K75" s="5" t="str">
        <f aca="false">IF(I75&gt;الإعدادات!$B$3,"شاذة","سليمة")</f>
        <v>سليمة</v>
      </c>
    </row>
    <row r="76" customFormat="false" ht="15" hidden="false" customHeight="false" outlineLevel="0" collapsed="false">
      <c r="A76" s="15" t="s">
        <v>26</v>
      </c>
      <c r="B76" s="15" t="s">
        <v>27</v>
      </c>
      <c r="C76" s="15" t="s">
        <v>20</v>
      </c>
      <c r="D76" s="15" t="s">
        <v>63</v>
      </c>
      <c r="E76" s="15" t="s">
        <v>21</v>
      </c>
      <c r="F76" s="19" t="n">
        <v>46282.5011535764</v>
      </c>
      <c r="G76" s="19" t="n">
        <v>46282.5051871412</v>
      </c>
      <c r="H76" s="15" t="s">
        <v>64</v>
      </c>
      <c r="I76" s="15" t="n">
        <v>5</v>
      </c>
      <c r="J76" s="15" t="n">
        <v>0</v>
      </c>
      <c r="K76" s="5" t="str">
        <f aca="false">IF(I76&gt;الإعدادات!$B$3,"شاذة","سليمة")</f>
        <v>سليمة</v>
      </c>
    </row>
    <row r="77" customFormat="false" ht="15" hidden="false" customHeight="false" outlineLevel="0" collapsed="false">
      <c r="A77" s="15" t="s">
        <v>22</v>
      </c>
      <c r="B77" s="15" t="s">
        <v>23</v>
      </c>
      <c r="C77" s="15" t="s">
        <v>20</v>
      </c>
      <c r="D77" s="15" t="s">
        <v>63</v>
      </c>
      <c r="E77" s="15" t="s">
        <v>21</v>
      </c>
      <c r="F77" s="19" t="n">
        <v>46278.8709474537</v>
      </c>
      <c r="G77" s="19" t="n">
        <v>46278.8710371296</v>
      </c>
      <c r="H77" s="15" t="s">
        <v>64</v>
      </c>
      <c r="I77" s="15" t="n">
        <v>0</v>
      </c>
      <c r="J77" s="15" t="n">
        <v>0</v>
      </c>
      <c r="K77" s="5" t="str">
        <f aca="false">IF(I77&gt;الإعدادات!$B$3,"شاذة","سليمة")</f>
        <v>سليمة</v>
      </c>
    </row>
  </sheetData>
  <autoFilter ref="A1:K77"/>
  <conditionalFormatting sqref="K2:K77">
    <cfRule type="cellIs" priority="2" operator="equal" aboveAverage="0" equalAverage="0" bottom="0" percent="0" rank="0" text="" dxfId="2">
      <formula>"شاذة"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2026-10-03T14:52:12Z</dcterms:created>
  <dc:creator>openpyxl</dc:creator>
  <dc:description/>
  <dc:language>en-US</dc:language>
  <cp:lastModifiedBy/>
  <dcterms:modified xsi:type="dcterms:W3CDTF">2026-10-03T14:52:12Z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